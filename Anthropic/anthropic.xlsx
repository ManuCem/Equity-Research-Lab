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atios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Chec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;(#,##0);&quot;-&quot;"/>
    <numFmt numFmtId="165" formatCode="$#,##0.00;($#,##0.00);&quot;-&quot;"/>
    <numFmt numFmtId="166" formatCode="0%;(0%);&quot;-&quot;"/>
    <numFmt numFmtId="167" formatCode="#,##0.0;(#,##0.0);&quot;-&quot;"/>
    <numFmt numFmtId="168" formatCode="0.0%;(0.0%);&quot;-&quot;"/>
    <numFmt numFmtId="169" formatCode="#,##0.00;(#,##0.00);&quot;-&quot;"/>
    <numFmt numFmtId="170" formatCode="0.0&quot;x&quot;;(0.0&quot;x&quot;);&quot;-&quot;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2"/>
    </font>
    <font>
      <name val="Arial"/>
      <i val="1"/>
      <color rgb="00595959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595959"/>
      <sz val="10"/>
    </font>
    <font>
      <name val="Arial"/>
      <color rgb="000000FF"/>
      <sz val="10"/>
    </font>
    <font>
      <name val="Arial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wrapText="1"/>
    </xf>
    <xf numFmtId="0" fontId="3" fillId="2" borderId="0" applyAlignment="1" pivotButton="0" quotePrefix="0" xfId="0">
      <alignment horizontal="center" wrapText="1"/>
    </xf>
    <xf numFmtId="0" fontId="4" fillId="0" borderId="0" pivotButton="0" quotePrefix="0" xfId="0"/>
    <xf numFmtId="164" fontId="6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4" fillId="0" borderId="0" pivotButton="0" quotePrefix="0" xfId="0"/>
    <xf numFmtId="166" fontId="6" fillId="0" borderId="0" pivotButton="0" quotePrefix="0" xfId="0"/>
    <xf numFmtId="166" fontId="6" fillId="0" borderId="0" applyAlignment="1" pivotButton="0" quotePrefix="0" xfId="0">
      <alignment horizontal="right"/>
    </xf>
    <xf numFmtId="167" fontId="6" fillId="0" borderId="0" pivotButton="0" quotePrefix="0" xfId="0"/>
    <xf numFmtId="165" fontId="6" fillId="0" borderId="0" pivotButton="0" quotePrefix="0" xfId="0"/>
    <xf numFmtId="168" fontId="6" fillId="0" borderId="0" pivotButton="0" quotePrefix="0" xfId="0"/>
    <xf numFmtId="168" fontId="4" fillId="0" borderId="0" pivotButton="0" quotePrefix="0" xfId="0"/>
    <xf numFmtId="49" fontId="4" fillId="0" borderId="0" applyAlignment="1" pivotButton="0" quotePrefix="0" xfId="0">
      <alignment horizontal="left"/>
    </xf>
    <xf numFmtId="166" fontId="4" fillId="0" borderId="0" pivotButton="0" quotePrefix="0" xfId="0"/>
    <xf numFmtId="164" fontId="6" fillId="0" borderId="0" applyAlignment="1" pivotButton="0" quotePrefix="0" xfId="0">
      <alignment horizontal="right"/>
    </xf>
    <xf numFmtId="164" fontId="7" fillId="0" borderId="0" pivotButton="0" quotePrefix="0" xfId="0"/>
    <xf numFmtId="169" fontId="4" fillId="0" borderId="0" pivotButton="0" quotePrefix="0" xfId="0"/>
    <xf numFmtId="170" fontId="6" fillId="0" borderId="0" applyAlignment="1" pivotButton="0" quotePrefix="0" xfId="0">
      <alignment horizontal="right"/>
    </xf>
    <xf numFmtId="170" fontId="4" fillId="0" borderId="0" pivotButton="0" quotePrefix="0" xfId="0"/>
    <xf numFmtId="166" fontId="7" fillId="0" borderId="0" pivotButton="0" quotePrefix="0" xfId="0"/>
    <xf numFmtId="0" fontId="0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6" customWidth="1" min="8" max="8"/>
    <col width="34" customWidth="1" min="9" max="9"/>
  </cols>
  <sheetData>
    <row r="1">
      <c r="A1" s="1" t="inlineStr">
        <is>
          <t>Anthropic, PBC - data from the Form S-1 (USD millions unless stated)</t>
        </is>
      </c>
    </row>
    <row r="2">
      <c r="A2" s="2" t="inlineStr">
        <is>
          <t>Blue = typed from the S-1 (page in column I). Black = formula. LTM Jun-26 = FY2025 + 6M2026 - 6M2025.</t>
        </is>
      </c>
    </row>
    <row r="4">
      <c r="A4" s="3" t="inlineStr">
        <is>
          <t>Income statement (GAAP)</t>
        </is>
      </c>
      <c r="B4" s="4" t="inlineStr">
        <is>
          <t>FY2023</t>
        </is>
      </c>
      <c r="C4" s="4" t="inlineStr">
        <is>
          <t>FY2024</t>
        </is>
      </c>
      <c r="D4" s="4" t="inlineStr">
        <is>
          <t>FY2025</t>
        </is>
      </c>
      <c r="E4" s="4" t="inlineStr">
        <is>
          <t>6M2025</t>
        </is>
      </c>
      <c r="F4" s="4" t="inlineStr">
        <is>
          <t>6M2026</t>
        </is>
      </c>
      <c r="G4" s="4" t="inlineStr">
        <is>
          <t>LTM Jun-26</t>
        </is>
      </c>
      <c r="H4" s="4" t="inlineStr">
        <is>
          <t>Unit</t>
        </is>
      </c>
      <c r="I4" s="4" t="inlineStr">
        <is>
          <t>Source</t>
        </is>
      </c>
    </row>
    <row r="5">
      <c r="A5" s="5" t="inlineStr">
        <is>
          <t>Revenue - consumption-based</t>
        </is>
      </c>
      <c r="B5" s="6" t="n">
        <v>39</v>
      </c>
      <c r="C5" s="6" t="n">
        <v>288</v>
      </c>
      <c r="D5" s="6" t="n">
        <v>3796</v>
      </c>
      <c r="E5" s="6" t="n">
        <v>983</v>
      </c>
      <c r="F5" s="6" t="n">
        <v>13064</v>
      </c>
      <c r="G5" s="7">
        <f>D5+F5-E5</f>
        <v>15877.0</v>
      </c>
      <c r="H5" s="8" t="inlineStr">
        <is>
          <t>USD m</t>
        </is>
      </c>
      <c r="I5" s="8" t="inlineStr">
        <is>
          <t>S-1 p.F-26 (PDF p.276)</t>
        </is>
      </c>
    </row>
    <row r="6">
      <c r="A6" s="5" t="inlineStr">
        <is>
          <t>Revenue - subscription-based</t>
        </is>
      </c>
      <c r="B6" s="6" t="n">
        <v>2</v>
      </c>
      <c r="C6" s="6" t="n">
        <v>98</v>
      </c>
      <c r="D6" s="6" t="n">
        <v>789</v>
      </c>
      <c r="E6" s="6" t="n">
        <v>180</v>
      </c>
      <c r="F6" s="6" t="n">
        <v>3222</v>
      </c>
      <c r="G6" s="7">
        <f>D6+F6-E6</f>
        <v>3831.0</v>
      </c>
      <c r="H6" s="8" t="inlineStr">
        <is>
          <t>USD m</t>
        </is>
      </c>
      <c r="I6" s="8" t="inlineStr">
        <is>
          <t>S-1 p.F-26 (PDF p.276)</t>
        </is>
      </c>
    </row>
    <row r="7">
      <c r="A7" s="9" t="inlineStr">
        <is>
          <t>Revenue</t>
        </is>
      </c>
      <c r="B7" s="10">
        <f>B5+B6</f>
        <v>41.0</v>
      </c>
      <c r="C7" s="10">
        <f>C5+C6</f>
        <v>386.0</v>
      </c>
      <c r="D7" s="10">
        <f>D5+D6</f>
        <v>4585.0</v>
      </c>
      <c r="E7" s="10">
        <f>E5+E6</f>
        <v>1163.0</v>
      </c>
      <c r="F7" s="10">
        <f>F5+F6</f>
        <v>16286.0</v>
      </c>
      <c r="G7" s="10">
        <f>G5+G6</f>
        <v>19708.0</v>
      </c>
      <c r="H7" s="8" t="inlineStr">
        <is>
          <t>USD m</t>
        </is>
      </c>
      <c r="I7" s="8" t="inlineStr">
        <is>
          <t>Formula</t>
        </is>
      </c>
    </row>
    <row r="8">
      <c r="A8" s="5" t="inlineStr">
        <is>
          <t>Revenue - United States</t>
        </is>
      </c>
      <c r="B8" s="6" t="n">
        <v>34</v>
      </c>
      <c r="C8" s="6" t="n">
        <v>263</v>
      </c>
      <c r="D8" s="6" t="n">
        <v>3362</v>
      </c>
      <c r="E8" s="6" t="n">
        <v>820</v>
      </c>
      <c r="F8" s="6" t="n">
        <v>11763</v>
      </c>
      <c r="G8" s="7">
        <f>D8+F8-E8</f>
        <v>14305.0</v>
      </c>
      <c r="H8" s="8" t="inlineStr">
        <is>
          <t>USD m</t>
        </is>
      </c>
      <c r="I8" s="8" t="inlineStr">
        <is>
          <t>S-1 p.F-26 (PDF p.276)</t>
        </is>
      </c>
    </row>
    <row r="9">
      <c r="A9" s="5" t="inlineStr">
        <is>
          <t>Revenue - International</t>
        </is>
      </c>
      <c r="B9" s="6" t="n">
        <v>7</v>
      </c>
      <c r="C9" s="6" t="n">
        <v>123</v>
      </c>
      <c r="D9" s="6" t="n">
        <v>1223</v>
      </c>
      <c r="E9" s="6" t="n">
        <v>343</v>
      </c>
      <c r="F9" s="6" t="n">
        <v>4523</v>
      </c>
      <c r="G9" s="7">
        <f>D9+F9-E9</f>
        <v>5403.0</v>
      </c>
      <c r="H9" s="8" t="inlineStr">
        <is>
          <t>USD m</t>
        </is>
      </c>
      <c r="I9" s="8" t="inlineStr">
        <is>
          <t>S-1 p.F-26 (PDF p.276)</t>
        </is>
      </c>
    </row>
    <row r="10">
      <c r="A10" s="5" t="inlineStr">
        <is>
          <t>Compute and infrastructure</t>
        </is>
      </c>
      <c r="B10" s="6" t="n">
        <v>433</v>
      </c>
      <c r="C10" s="6" t="n">
        <v>2522</v>
      </c>
      <c r="D10" s="6" t="n">
        <v>7326</v>
      </c>
      <c r="E10" s="6" t="n">
        <v>2334</v>
      </c>
      <c r="F10" s="6" t="n">
        <v>8945</v>
      </c>
      <c r="G10" s="7">
        <f>D10+F10-E10</f>
        <v>13937.0</v>
      </c>
      <c r="H10" s="8" t="inlineStr">
        <is>
          <t>USD m</t>
        </is>
      </c>
      <c r="I10" s="8" t="inlineStr">
        <is>
          <t>S-1 p.F-7 (PDF p.263)</t>
        </is>
      </c>
    </row>
    <row r="11">
      <c r="A11" s="5" t="inlineStr">
        <is>
          <t>Personnel (incl. stock-based compensation)</t>
        </is>
      </c>
      <c r="B11" s="6" t="n">
        <v>95</v>
      </c>
      <c r="C11" s="6" t="n">
        <v>454</v>
      </c>
      <c r="D11" s="6" t="n">
        <v>1839</v>
      </c>
      <c r="E11" s="6" t="n">
        <v>538</v>
      </c>
      <c r="F11" s="6" t="n">
        <v>3152</v>
      </c>
      <c r="G11" s="7">
        <f>D11+F11-E11</f>
        <v>4453.0</v>
      </c>
      <c r="H11" s="8" t="inlineStr">
        <is>
          <t>USD m</t>
        </is>
      </c>
      <c r="I11" s="8" t="inlineStr">
        <is>
          <t>S-1 p.F-7 (PDF p.263)</t>
        </is>
      </c>
    </row>
    <row r="12">
      <c r="A12" s="5" t="inlineStr">
        <is>
          <t>Bartz settlement</t>
        </is>
      </c>
      <c r="B12" s="6" t="n">
        <v>0</v>
      </c>
      <c r="C12" s="6" t="n">
        <v>0</v>
      </c>
      <c r="D12" s="6" t="n">
        <v>1500</v>
      </c>
      <c r="E12" s="6" t="n">
        <v>0</v>
      </c>
      <c r="F12" s="6" t="n">
        <v>0</v>
      </c>
      <c r="G12" s="7">
        <f>D12+F12-E12</f>
        <v>1500.0</v>
      </c>
      <c r="H12" s="8" t="inlineStr">
        <is>
          <t>USD m</t>
        </is>
      </c>
      <c r="I12" s="8" t="inlineStr">
        <is>
          <t>S-1 p.F-7 (PDF p.263)</t>
        </is>
      </c>
    </row>
    <row r="13">
      <c r="A13" s="5" t="inlineStr">
        <is>
          <t>Sales, marketing, and partnerships</t>
        </is>
      </c>
      <c r="B13" s="6" t="n">
        <v>2</v>
      </c>
      <c r="C13" s="6" t="n">
        <v>43</v>
      </c>
      <c r="D13" s="6" t="n">
        <v>568</v>
      </c>
      <c r="E13" s="6" t="n">
        <v>120</v>
      </c>
      <c r="F13" s="6" t="n">
        <v>3168</v>
      </c>
      <c r="G13" s="7">
        <f>D13+F13-E13</f>
        <v>3616.0</v>
      </c>
      <c r="H13" s="8" t="inlineStr">
        <is>
          <t>USD m</t>
        </is>
      </c>
      <c r="I13" s="8" t="inlineStr">
        <is>
          <t>S-1 p.F-7 (PDF p.263)</t>
        </is>
      </c>
    </row>
    <row r="14">
      <c r="A14" s="5" t="inlineStr">
        <is>
          <t>Other operating and administrative</t>
        </is>
      </c>
      <c r="B14" s="6" t="n">
        <v>62</v>
      </c>
      <c r="C14" s="6" t="n">
        <v>347</v>
      </c>
      <c r="D14" s="6" t="n">
        <v>1412</v>
      </c>
      <c r="E14" s="6" t="n">
        <v>306</v>
      </c>
      <c r="F14" s="6" t="n">
        <v>1714</v>
      </c>
      <c r="G14" s="7">
        <f>D14+F14-E14</f>
        <v>2820.0</v>
      </c>
      <c r="H14" s="8" t="inlineStr">
        <is>
          <t>USD m</t>
        </is>
      </c>
      <c r="I14" s="8" t="inlineStr">
        <is>
          <t>S-1 p.F-7 (PDF p.263)</t>
        </is>
      </c>
    </row>
    <row r="15">
      <c r="A15" s="9" t="inlineStr">
        <is>
          <t>Total operating expenses</t>
        </is>
      </c>
      <c r="B15" s="10">
        <f>B10+B11+B12+B13+B14</f>
        <v>592.0</v>
      </c>
      <c r="C15" s="10">
        <f>C10+C11+C12+C13+C14</f>
        <v>3366.0</v>
      </c>
      <c r="D15" s="10">
        <f>D10+D11+D12+D13+D14</f>
        <v>12645.0</v>
      </c>
      <c r="E15" s="10">
        <f>E10+E11+E12+E13+E14</f>
        <v>3298.0</v>
      </c>
      <c r="F15" s="10">
        <f>F10+F11+F12+F13+F14</f>
        <v>16979.0</v>
      </c>
      <c r="G15" s="10">
        <f>G10+G11+G12+G13+G14</f>
        <v>26326.0</v>
      </c>
      <c r="H15" s="8" t="inlineStr">
        <is>
          <t>USD m</t>
        </is>
      </c>
      <c r="I15" s="8" t="inlineStr">
        <is>
          <t>Formula</t>
        </is>
      </c>
    </row>
    <row r="16">
      <c r="A16" s="9" t="inlineStr">
        <is>
          <t>Operating income (loss)</t>
        </is>
      </c>
      <c r="B16" s="10">
        <f>B7-B15</f>
        <v>-551.0</v>
      </c>
      <c r="C16" s="10">
        <f>C7-C15</f>
        <v>-2980.0</v>
      </c>
      <c r="D16" s="10">
        <f>D7-D15</f>
        <v>-8060.0</v>
      </c>
      <c r="E16" s="10">
        <f>E7-E15</f>
        <v>-2135.0</v>
      </c>
      <c r="F16" s="10">
        <f>F7-F15</f>
        <v>-693.0</v>
      </c>
      <c r="G16" s="10">
        <f>G7-G15</f>
        <v>-6618.0</v>
      </c>
      <c r="H16" s="8" t="inlineStr">
        <is>
          <t>USD m</t>
        </is>
      </c>
      <c r="I16" s="8" t="inlineStr">
        <is>
          <t>Formula</t>
        </is>
      </c>
    </row>
    <row r="17">
      <c r="A17" s="5" t="inlineStr">
        <is>
          <t>Interest income</t>
        </is>
      </c>
      <c r="B17" s="6" t="n">
        <v>69</v>
      </c>
      <c r="C17" s="6" t="n">
        <v>106</v>
      </c>
      <c r="D17" s="6" t="n">
        <v>431</v>
      </c>
      <c r="E17" s="6" t="n">
        <v>115</v>
      </c>
      <c r="F17" s="6" t="n">
        <v>1111</v>
      </c>
      <c r="G17" s="7">
        <f>D17+F17-E17</f>
        <v>1427.0</v>
      </c>
      <c r="H17" s="8" t="inlineStr">
        <is>
          <t>USD m</t>
        </is>
      </c>
      <c r="I17" s="8" t="inlineStr">
        <is>
          <t>S-1 p.F-7 (PDF p.263)</t>
        </is>
      </c>
    </row>
    <row r="18">
      <c r="A18" s="5" t="inlineStr">
        <is>
          <t>Change in fair value of convertible notes, derivatives and SAFEs</t>
        </is>
      </c>
      <c r="B18" s="6" t="n">
        <v>-1045</v>
      </c>
      <c r="C18" s="6" t="n">
        <v>-5434</v>
      </c>
      <c r="D18" s="6" t="n">
        <v>-34308</v>
      </c>
      <c r="E18" s="6" t="n">
        <v>-10942</v>
      </c>
      <c r="F18" s="6" t="n">
        <v>-72388</v>
      </c>
      <c r="G18" s="7">
        <f>D18+F18-E18</f>
        <v>-95754.0</v>
      </c>
      <c r="H18" s="8" t="inlineStr">
        <is>
          <t>USD m</t>
        </is>
      </c>
      <c r="I18" s="8" t="inlineStr">
        <is>
          <t>S-1 p.F-7 (PDF p.263)</t>
        </is>
      </c>
    </row>
    <row r="19">
      <c r="A19" s="5" t="inlineStr">
        <is>
          <t>Other income (expense), net</t>
        </is>
      </c>
      <c r="B19" s="6" t="n">
        <v>-2</v>
      </c>
      <c r="C19" s="6" t="n">
        <v>0</v>
      </c>
      <c r="D19" s="6" t="n">
        <v>-8</v>
      </c>
      <c r="E19" s="6" t="n">
        <v>0</v>
      </c>
      <c r="F19" s="6" t="n">
        <v>-8757</v>
      </c>
      <c r="G19" s="7">
        <f>D19+F19-E19</f>
        <v>-8765.0</v>
      </c>
      <c r="H19" s="8" t="inlineStr">
        <is>
          <t>USD m</t>
        </is>
      </c>
      <c r="I19" s="8" t="inlineStr">
        <is>
          <t>S-1 p.F-7 (PDF p.263)</t>
        </is>
      </c>
    </row>
    <row r="20">
      <c r="A20" s="5" t="inlineStr">
        <is>
          <t>Loss before income taxes</t>
        </is>
      </c>
      <c r="B20" s="7">
        <f>B16+B17+B18+B19</f>
        <v>-1529.0</v>
      </c>
      <c r="C20" s="7">
        <f>C16+C17+C18+C19</f>
        <v>-8308.0</v>
      </c>
      <c r="D20" s="7">
        <f>D16+D17+D18+D19</f>
        <v>-41945.0</v>
      </c>
      <c r="E20" s="7">
        <f>E16+E17+E18+E19</f>
        <v>-12962.0</v>
      </c>
      <c r="F20" s="7">
        <f>F16+F17+F18+F19</f>
        <v>-80727.0</v>
      </c>
      <c r="G20" s="7">
        <f>G16+G17+G18+G19</f>
        <v>-109710.0</v>
      </c>
      <c r="H20" s="8" t="inlineStr">
        <is>
          <t>USD m</t>
        </is>
      </c>
      <c r="I20" s="8" t="inlineStr">
        <is>
          <t>Formula</t>
        </is>
      </c>
    </row>
    <row r="21">
      <c r="A21" s="5" t="inlineStr">
        <is>
          <t>Provision for income taxes</t>
        </is>
      </c>
      <c r="B21" s="6" t="n">
        <v>2</v>
      </c>
      <c r="C21" s="6" t="n">
        <v>1</v>
      </c>
      <c r="D21" s="6" t="n">
        <v>20</v>
      </c>
      <c r="E21" s="6" t="n">
        <v>7</v>
      </c>
      <c r="F21" s="6" t="n">
        <v>21</v>
      </c>
      <c r="G21" s="7">
        <f>D21+F21-E21</f>
        <v>34.0</v>
      </c>
      <c r="H21" s="8" t="inlineStr">
        <is>
          <t>USD m</t>
        </is>
      </c>
      <c r="I21" s="8" t="inlineStr">
        <is>
          <t>S-1 p.F-7 (PDF p.263)</t>
        </is>
      </c>
    </row>
    <row r="22">
      <c r="A22" s="9" t="inlineStr">
        <is>
          <t>Net income (loss)</t>
        </is>
      </c>
      <c r="B22" s="10">
        <f>B20-B21</f>
        <v>-1531.0</v>
      </c>
      <c r="C22" s="10">
        <f>C20-C21</f>
        <v>-8309.0</v>
      </c>
      <c r="D22" s="10">
        <f>D20-D21</f>
        <v>-41965.0</v>
      </c>
      <c r="E22" s="10">
        <f>E20-E21</f>
        <v>-12969.0</v>
      </c>
      <c r="F22" s="10">
        <f>F20-F21</f>
        <v>-80748.0</v>
      </c>
      <c r="G22" s="10">
        <f>G20-G21</f>
        <v>-109744.0</v>
      </c>
      <c r="H22" s="8" t="inlineStr">
        <is>
          <t>USD m</t>
        </is>
      </c>
      <c r="I22" s="8" t="inlineStr">
        <is>
          <t>Formula</t>
        </is>
      </c>
    </row>
    <row r="23">
      <c r="A23" s="5" t="inlineStr">
        <is>
          <t>Weighted-average shares, basic and diluted</t>
        </is>
      </c>
      <c r="B23" s="6" t="n">
        <v>1076880510</v>
      </c>
      <c r="C23" s="6" t="n">
        <v>1528994540</v>
      </c>
      <c r="D23" s="6" t="n">
        <v>1821084860</v>
      </c>
      <c r="E23" s="6" t="n">
        <v>1788730900</v>
      </c>
      <c r="F23" s="6" t="n">
        <v>2024972990</v>
      </c>
      <c r="H23" s="8" t="inlineStr">
        <is>
          <t>shares</t>
        </is>
      </c>
      <c r="I23" s="8" t="inlineStr">
        <is>
          <t>S-1 p.22 (PDF p.25)</t>
        </is>
      </c>
    </row>
    <row r="24">
      <c r="A24" s="5" t="inlineStr">
        <is>
          <t>Net loss per share, basic and diluted</t>
        </is>
      </c>
      <c r="B24" s="11">
        <f>B22*1000000/B23</f>
        <v>-1.4216990518288792</v>
      </c>
      <c r="C24" s="11">
        <f>C22*1000000/C23</f>
        <v>-5.4342901708465225</v>
      </c>
      <c r="D24" s="11">
        <f>D22*1000000/D23</f>
        <v>-23.043956337103367</v>
      </c>
      <c r="E24" s="11">
        <f>E22*1000000/E23</f>
        <v>-7.25039188398881</v>
      </c>
      <c r="F24" s="11">
        <f>F22*1000000/F23</f>
        <v>-39.876087433640286</v>
      </c>
      <c r="H24" s="8" t="inlineStr">
        <is>
          <t>USD/share</t>
        </is>
      </c>
      <c r="I24" s="8" t="inlineStr">
        <is>
          <t>Formula</t>
        </is>
      </c>
    </row>
    <row r="26">
      <c r="A26" s="3" t="inlineStr">
        <is>
          <t>Operating expenses by function (Note 8)</t>
        </is>
      </c>
      <c r="B26" s="4" t="inlineStr">
        <is>
          <t>FY2023</t>
        </is>
      </c>
      <c r="C26" s="4" t="inlineStr">
        <is>
          <t>FY2024</t>
        </is>
      </c>
      <c r="D26" s="4" t="inlineStr">
        <is>
          <t>FY2025</t>
        </is>
      </c>
      <c r="E26" s="4" t="inlineStr">
        <is>
          <t>6M2025</t>
        </is>
      </c>
      <c r="F26" s="4" t="inlineStr">
        <is>
          <t>6M2026</t>
        </is>
      </c>
      <c r="G26" s="4" t="inlineStr">
        <is>
          <t>LTM Jun-26</t>
        </is>
      </c>
      <c r="H26" s="4" t="inlineStr">
        <is>
          <t>Unit</t>
        </is>
      </c>
      <c r="I26" s="4" t="inlineStr">
        <is>
          <t>Source</t>
        </is>
      </c>
    </row>
    <row r="27">
      <c r="A27" s="5" t="inlineStr">
        <is>
          <t>Cost of revenue (customer-serving compute)</t>
        </is>
      </c>
      <c r="B27" s="6" t="n">
        <v>26</v>
      </c>
      <c r="C27" s="6" t="n">
        <v>752</v>
      </c>
      <c r="D27" s="6" t="n">
        <v>2773</v>
      </c>
      <c r="E27" s="6" t="n">
        <v>1019</v>
      </c>
      <c r="F27" s="6" t="n">
        <v>2380</v>
      </c>
      <c r="G27" s="7">
        <f>D27+F27-E27</f>
        <v>4134.0</v>
      </c>
      <c r="H27" s="8" t="inlineStr">
        <is>
          <t>USD m</t>
        </is>
      </c>
      <c r="I27" s="8" t="inlineStr">
        <is>
          <t>S-1 p.F-39 (PDF p.286)</t>
        </is>
      </c>
    </row>
    <row r="28">
      <c r="A28" s="5" t="inlineStr">
        <is>
          <t>Research and development</t>
        </is>
      </c>
      <c r="B28" s="6" t="n">
        <v>422</v>
      </c>
      <c r="C28" s="6" t="n">
        <v>2275</v>
      </c>
      <c r="D28" s="6" t="n">
        <v>6338</v>
      </c>
      <c r="E28" s="6" t="n">
        <v>1850</v>
      </c>
      <c r="F28" s="6" t="n">
        <v>9741</v>
      </c>
      <c r="G28" s="7">
        <f>D28+F28-E28</f>
        <v>14229.0</v>
      </c>
      <c r="H28" s="8" t="inlineStr">
        <is>
          <t>USD m</t>
        </is>
      </c>
      <c r="I28" s="8" t="inlineStr">
        <is>
          <t>S-1 p.F-39 (PDF p.286)</t>
        </is>
      </c>
    </row>
    <row r="29">
      <c r="A29" s="5" t="inlineStr">
        <is>
          <t>Sales and marketing</t>
        </is>
      </c>
      <c r="B29" s="6" t="n">
        <v>76</v>
      </c>
      <c r="C29" s="6" t="n">
        <v>163</v>
      </c>
      <c r="D29" s="6" t="n">
        <v>911</v>
      </c>
      <c r="E29" s="6" t="n">
        <v>239</v>
      </c>
      <c r="F29" s="6" t="n">
        <v>3808</v>
      </c>
      <c r="G29" s="7">
        <f>D29+F29-E29</f>
        <v>4480.0</v>
      </c>
      <c r="H29" s="8" t="inlineStr">
        <is>
          <t>USD m</t>
        </is>
      </c>
      <c r="I29" s="8" t="inlineStr">
        <is>
          <t>S-1 p.F-39 (PDF p.286)</t>
        </is>
      </c>
    </row>
    <row r="30">
      <c r="A30" s="5" t="inlineStr">
        <is>
          <t>Bartz settlement</t>
        </is>
      </c>
      <c r="B30" s="6" t="n">
        <v>0</v>
      </c>
      <c r="C30" s="6" t="n">
        <v>0</v>
      </c>
      <c r="D30" s="6" t="n">
        <v>1500</v>
      </c>
      <c r="E30" s="6" t="n">
        <v>0</v>
      </c>
      <c r="F30" s="6" t="n">
        <v>0</v>
      </c>
      <c r="G30" s="7">
        <f>D30+F30-E30</f>
        <v>1500.0</v>
      </c>
      <c r="H30" s="8" t="inlineStr">
        <is>
          <t>USD m</t>
        </is>
      </c>
      <c r="I30" s="8" t="inlineStr">
        <is>
          <t>S-1 p.F-39 (PDF p.286)</t>
        </is>
      </c>
    </row>
    <row r="31">
      <c r="A31" s="5" t="inlineStr">
        <is>
          <t>General and administrative</t>
        </is>
      </c>
      <c r="B31" s="6" t="n">
        <v>68</v>
      </c>
      <c r="C31" s="6" t="n">
        <v>176</v>
      </c>
      <c r="D31" s="6" t="n">
        <v>1123</v>
      </c>
      <c r="E31" s="6" t="n">
        <v>190</v>
      </c>
      <c r="F31" s="6" t="n">
        <v>1050</v>
      </c>
      <c r="G31" s="7">
        <f>D31+F31-E31</f>
        <v>1983.0</v>
      </c>
      <c r="H31" s="8" t="inlineStr">
        <is>
          <t>USD m</t>
        </is>
      </c>
      <c r="I31" s="8" t="inlineStr">
        <is>
          <t>S-1 p.F-39 (PDF p.286)</t>
        </is>
      </c>
    </row>
    <row r="32">
      <c r="A32" s="9" t="inlineStr">
        <is>
          <t>Total operating expenses</t>
        </is>
      </c>
      <c r="B32" s="10">
        <f>B27+B28+B29+B30+B31</f>
        <v>592.0</v>
      </c>
      <c r="C32" s="10">
        <f>C27+C28+C29+C30+C31</f>
        <v>3366.0</v>
      </c>
      <c r="D32" s="10">
        <f>D27+D28+D29+D30+D31</f>
        <v>12645.0</v>
      </c>
      <c r="E32" s="10">
        <f>E27+E28+E29+E30+E31</f>
        <v>3298.0</v>
      </c>
      <c r="F32" s="10">
        <f>F27+F28+F29+F30+F31</f>
        <v>16979.0</v>
      </c>
      <c r="G32" s="10">
        <f>G27+G28+G29+G30+G31</f>
        <v>26326.0</v>
      </c>
      <c r="H32" s="8" t="inlineStr">
        <is>
          <t>USD m</t>
        </is>
      </c>
      <c r="I32" s="8" t="inlineStr">
        <is>
          <t>Formula</t>
        </is>
      </c>
    </row>
    <row r="33">
      <c r="A33" s="9" t="inlineStr">
        <is>
          <t>Gross profit (revenue - cost of revenue)</t>
        </is>
      </c>
      <c r="B33" s="10">
        <f>B7-B27</f>
        <v>15.0</v>
      </c>
      <c r="C33" s="10">
        <f>C7-C27</f>
        <v>-366.0</v>
      </c>
      <c r="D33" s="10">
        <f>D7-D27</f>
        <v>1812.0</v>
      </c>
      <c r="E33" s="10">
        <f>E7-E27</f>
        <v>144.0</v>
      </c>
      <c r="F33" s="10">
        <f>F7-F27</f>
        <v>13906.0</v>
      </c>
      <c r="G33" s="10">
        <f>G7-G27</f>
        <v>15574.0</v>
      </c>
      <c r="H33" s="8" t="inlineStr">
        <is>
          <t>USD m</t>
        </is>
      </c>
      <c r="I33" s="8" t="inlineStr">
        <is>
          <t>Formula</t>
        </is>
      </c>
    </row>
    <row r="35">
      <c r="A35" s="3" t="inlineStr">
        <is>
          <t>Non-GAAP reconciliation (company definitions)</t>
        </is>
      </c>
      <c r="B35" s="4" t="inlineStr">
        <is>
          <t>FY2023</t>
        </is>
      </c>
      <c r="C35" s="4" t="inlineStr">
        <is>
          <t>FY2024</t>
        </is>
      </c>
      <c r="D35" s="4" t="inlineStr">
        <is>
          <t>FY2025</t>
        </is>
      </c>
      <c r="E35" s="4" t="inlineStr">
        <is>
          <t>6M2025</t>
        </is>
      </c>
      <c r="F35" s="4" t="inlineStr">
        <is>
          <t>6M2026</t>
        </is>
      </c>
      <c r="G35" s="4" t="inlineStr">
        <is>
          <t>LTM Jun-26</t>
        </is>
      </c>
      <c r="H35" s="4" t="inlineStr">
        <is>
          <t>Unit</t>
        </is>
      </c>
      <c r="I35" s="4" t="inlineStr">
        <is>
          <t>Source</t>
        </is>
      </c>
    </row>
    <row r="36">
      <c r="A36" s="5" t="inlineStr">
        <is>
          <t>Stock-based compensation</t>
        </is>
      </c>
      <c r="B36" s="6" t="n">
        <v>29</v>
      </c>
      <c r="C36" s="6" t="n">
        <v>192</v>
      </c>
      <c r="D36" s="6" t="n">
        <v>1165</v>
      </c>
      <c r="E36" s="6" t="n">
        <v>286</v>
      </c>
      <c r="F36" s="6" t="n">
        <v>2185</v>
      </c>
      <c r="G36" s="7">
        <f>D36+F36-E36</f>
        <v>3064.0</v>
      </c>
      <c r="H36" s="8" t="inlineStr">
        <is>
          <t>USD m</t>
        </is>
      </c>
      <c r="I36" s="8" t="inlineStr">
        <is>
          <t>S-1 p.156 (PDF p.125)</t>
        </is>
      </c>
    </row>
    <row r="37">
      <c r="A37" s="5" t="inlineStr">
        <is>
          <t>Non-cash charitable contributions (donation matching)</t>
        </is>
      </c>
      <c r="B37" s="6" t="n">
        <v>0</v>
      </c>
      <c r="C37" s="6" t="n">
        <v>0</v>
      </c>
      <c r="D37" s="6" t="n">
        <v>541</v>
      </c>
      <c r="E37" s="6" t="n">
        <v>0</v>
      </c>
      <c r="F37" s="6" t="n">
        <v>126</v>
      </c>
      <c r="G37" s="7">
        <f>D37+F37-E37</f>
        <v>667.0</v>
      </c>
      <c r="H37" s="8" t="inlineStr">
        <is>
          <t>USD m</t>
        </is>
      </c>
      <c r="I37" s="8" t="inlineStr">
        <is>
          <t>S-1 p.156 (PDF p.125)</t>
        </is>
      </c>
    </row>
    <row r="38">
      <c r="A38" s="5" t="inlineStr">
        <is>
          <t>Change in FV of mark-to-market financial instruments</t>
        </is>
      </c>
      <c r="B38" s="6" t="n">
        <v>0</v>
      </c>
      <c r="C38" s="6" t="n">
        <v>0</v>
      </c>
      <c r="D38" s="6" t="n">
        <v>3</v>
      </c>
      <c r="E38" s="6" t="n">
        <v>0</v>
      </c>
      <c r="F38" s="6" t="n">
        <v>8720</v>
      </c>
      <c r="G38" s="7">
        <f>D38+F38-E38</f>
        <v>8723.0</v>
      </c>
      <c r="H38" s="8" t="inlineStr">
        <is>
          <t>USD m</t>
        </is>
      </c>
      <c r="I38" s="8" t="inlineStr">
        <is>
          <t>S-1 p.156 (PDF p.125)</t>
        </is>
      </c>
    </row>
    <row r="39">
      <c r="A39" s="5" t="inlineStr">
        <is>
          <t>Depreciation and amortization (cash flow statement)</t>
        </is>
      </c>
      <c r="B39" s="6" t="n">
        <v>3</v>
      </c>
      <c r="C39" s="6" t="n">
        <v>21</v>
      </c>
      <c r="D39" s="6" t="n">
        <v>40</v>
      </c>
      <c r="E39" s="6" t="n">
        <v>14</v>
      </c>
      <c r="F39" s="6" t="n">
        <v>97</v>
      </c>
      <c r="G39" s="7">
        <f>D39+F39-E39</f>
        <v>123.0</v>
      </c>
      <c r="H39" s="8" t="inlineStr">
        <is>
          <t>USD m</t>
        </is>
      </c>
      <c r="I39" s="8" t="inlineStr">
        <is>
          <t>S-1 p.F-12 (PDF p.266)</t>
        </is>
      </c>
    </row>
    <row r="40">
      <c r="A40" s="9" t="inlineStr">
        <is>
          <t>Adjusted Operating Income = operating loss + SBC + donations + Bartz</t>
        </is>
      </c>
      <c r="B40" s="10">
        <f>B16+B36+B37+B12</f>
        <v>-522.0</v>
      </c>
      <c r="C40" s="10">
        <f>C16+C36+C37+C12</f>
        <v>-2788.0</v>
      </c>
      <c r="D40" s="10">
        <f>D16+D36+D37+D12</f>
        <v>-4854.0</v>
      </c>
      <c r="E40" s="10">
        <f>E16+E36+E37+E12</f>
        <v>-1849.0</v>
      </c>
      <c r="F40" s="10">
        <f>F16+F36+F37+F12</f>
        <v>1618.0</v>
      </c>
      <c r="G40" s="10">
        <f>G16+G36+G37+G12</f>
        <v>-1387.0</v>
      </c>
      <c r="H40" s="8" t="inlineStr">
        <is>
          <t>USD m</t>
        </is>
      </c>
      <c r="I40" s="8" t="inlineStr">
        <is>
          <t>Formula; S-1 p.155</t>
        </is>
      </c>
    </row>
    <row r="41">
      <c r="A41" s="5" t="inlineStr">
        <is>
          <t>Adjusted Net Income = net loss + SBC + donations + Bartz + FV changes</t>
        </is>
      </c>
      <c r="B41" s="7">
        <f>B22+B36+B37+B12-B18+B38</f>
        <v>-457.0</v>
      </c>
      <c r="C41" s="7">
        <f>C22+C36+C37+C12-C18+C38</f>
        <v>-2683.0</v>
      </c>
      <c r="D41" s="7">
        <f>D22+D36+D37+D12-D18+D38</f>
        <v>-4448.0</v>
      </c>
      <c r="E41" s="7">
        <f>E22+E36+E37+E12-E18+E38</f>
        <v>-1741.0</v>
      </c>
      <c r="F41" s="7">
        <f>F22+F36+F37+F12-F18+F38</f>
        <v>2671.0</v>
      </c>
      <c r="G41" s="7">
        <f>G22+G36+G37+G12-G18+G38</f>
        <v>-36.0</v>
      </c>
      <c r="H41" s="8" t="inlineStr">
        <is>
          <t>USD m</t>
        </is>
      </c>
      <c r="I41" s="8" t="inlineStr">
        <is>
          <t>Formula; S-1 p.156</t>
        </is>
      </c>
    </row>
    <row r="42">
      <c r="A42" s="5" t="inlineStr">
        <is>
          <t>Adjusted EBITDA = Adjusted Operating Income + D&amp;A (not reported by company)</t>
        </is>
      </c>
      <c r="B42" s="7">
        <f>B40+B39</f>
        <v>-519.0</v>
      </c>
      <c r="C42" s="7">
        <f>C40+C39</f>
        <v>-2767.0</v>
      </c>
      <c r="D42" s="7">
        <f>D40+D39</f>
        <v>-4814.0</v>
      </c>
      <c r="E42" s="7">
        <f>E40+E39</f>
        <v>-1835.0</v>
      </c>
      <c r="F42" s="7">
        <f>F40+F39</f>
        <v>1715.0</v>
      </c>
      <c r="G42" s="7">
        <f>G40+G39</f>
        <v>-1264.0</v>
      </c>
      <c r="H42" s="8" t="inlineStr">
        <is>
          <t>USD m</t>
        </is>
      </c>
      <c r="I42" s="8" t="inlineStr">
        <is>
          <t>Own calculation</t>
        </is>
      </c>
    </row>
    <row r="44">
      <c r="A44" s="3" t="inlineStr">
        <is>
          <t>Cash flow statement</t>
        </is>
      </c>
      <c r="B44" s="4" t="inlineStr">
        <is>
          <t>FY2023</t>
        </is>
      </c>
      <c r="C44" s="4" t="inlineStr">
        <is>
          <t>FY2024</t>
        </is>
      </c>
      <c r="D44" s="4" t="inlineStr">
        <is>
          <t>FY2025</t>
        </is>
      </c>
      <c r="E44" s="4" t="inlineStr">
        <is>
          <t>6M2025</t>
        </is>
      </c>
      <c r="F44" s="4" t="inlineStr">
        <is>
          <t>6M2026</t>
        </is>
      </c>
      <c r="G44" s="4" t="inlineStr">
        <is>
          <t>LTM Jun-26</t>
        </is>
      </c>
      <c r="H44" s="4" t="inlineStr">
        <is>
          <t>Unit</t>
        </is>
      </c>
      <c r="I44" s="4" t="inlineStr">
        <is>
          <t>Source</t>
        </is>
      </c>
    </row>
    <row r="45">
      <c r="A45" s="5" t="inlineStr">
        <is>
          <t>Net loss</t>
        </is>
      </c>
      <c r="B45" s="6" t="n">
        <v>-1531</v>
      </c>
      <c r="C45" s="6" t="n">
        <v>-8309</v>
      </c>
      <c r="D45" s="6" t="n">
        <v>-41965</v>
      </c>
      <c r="E45" s="6" t="n">
        <v>-12969</v>
      </c>
      <c r="F45" s="6" t="n">
        <v>-80748</v>
      </c>
      <c r="G45" s="7">
        <f>D45+F45-E45</f>
        <v>-109744.0</v>
      </c>
      <c r="H45" s="8" t="inlineStr">
        <is>
          <t>USD m</t>
        </is>
      </c>
      <c r="I45" s="8" t="inlineStr">
        <is>
          <t>S-1 p.F-12 (PDF p.266)</t>
        </is>
      </c>
    </row>
    <row r="46">
      <c r="A46" s="5" t="inlineStr">
        <is>
          <t>Stock-based compensation</t>
        </is>
      </c>
      <c r="B46" s="6" t="n">
        <v>29</v>
      </c>
      <c r="C46" s="6" t="n">
        <v>192</v>
      </c>
      <c r="D46" s="6" t="n">
        <v>1158</v>
      </c>
      <c r="E46" s="6" t="n">
        <v>279</v>
      </c>
      <c r="F46" s="6" t="n">
        <v>2185</v>
      </c>
      <c r="G46" s="7">
        <f>D46+F46-E46</f>
        <v>3064.0</v>
      </c>
      <c r="H46" s="8" t="inlineStr">
        <is>
          <t>USD m</t>
        </is>
      </c>
      <c r="I46" s="8" t="inlineStr">
        <is>
          <t>S-1 p.F-12 (PDF p.266)</t>
        </is>
      </c>
    </row>
    <row r="47">
      <c r="A47" s="5" t="inlineStr">
        <is>
          <t>Depreciation and amortization</t>
        </is>
      </c>
      <c r="B47" s="6" t="n">
        <v>3</v>
      </c>
      <c r="C47" s="6" t="n">
        <v>21</v>
      </c>
      <c r="D47" s="6" t="n">
        <v>40</v>
      </c>
      <c r="E47" s="6" t="n">
        <v>14</v>
      </c>
      <c r="F47" s="6" t="n">
        <v>97</v>
      </c>
      <c r="G47" s="7">
        <f>D47+F47-E47</f>
        <v>123.0</v>
      </c>
      <c r="H47" s="8" t="inlineStr">
        <is>
          <t>USD m</t>
        </is>
      </c>
      <c r="I47" s="8" t="inlineStr">
        <is>
          <t>S-1 p.F-12 (PDF p.266)</t>
        </is>
      </c>
    </row>
    <row r="48">
      <c r="A48" s="5" t="inlineStr">
        <is>
          <t>Change in FV of convertible notes, derivatives, SAFEs</t>
        </is>
      </c>
      <c r="B48" s="6" t="n">
        <v>1045</v>
      </c>
      <c r="C48" s="6" t="n">
        <v>5434</v>
      </c>
      <c r="D48" s="6" t="n">
        <v>34308</v>
      </c>
      <c r="E48" s="6" t="n">
        <v>10942</v>
      </c>
      <c r="F48" s="6" t="n">
        <v>72388</v>
      </c>
      <c r="G48" s="7">
        <f>D48+F48-E48</f>
        <v>95754.0</v>
      </c>
      <c r="H48" s="8" t="inlineStr">
        <is>
          <t>USD m</t>
        </is>
      </c>
      <c r="I48" s="8" t="inlineStr">
        <is>
          <t>S-1 p.F-12 (PDF p.266)</t>
        </is>
      </c>
    </row>
    <row r="49">
      <c r="A49" s="5" t="inlineStr">
        <is>
          <t>Donation matching program liability</t>
        </is>
      </c>
      <c r="B49" s="6" t="n">
        <v>0</v>
      </c>
      <c r="C49" s="6" t="n">
        <v>0</v>
      </c>
      <c r="D49" s="6" t="n">
        <v>541</v>
      </c>
      <c r="E49" s="6" t="n">
        <v>0</v>
      </c>
      <c r="F49" s="6" t="n">
        <v>126</v>
      </c>
      <c r="G49" s="7">
        <f>D49+F49-E49</f>
        <v>667.0</v>
      </c>
      <c r="H49" s="8" t="inlineStr">
        <is>
          <t>USD m</t>
        </is>
      </c>
      <c r="I49" s="8" t="inlineStr">
        <is>
          <t>S-1 p.F-12 (PDF p.266)</t>
        </is>
      </c>
    </row>
    <row r="50">
      <c r="A50" s="5" t="inlineStr">
        <is>
          <t>Change in FV of other financial instruments</t>
        </is>
      </c>
      <c r="B50" s="6" t="n">
        <v>0</v>
      </c>
      <c r="C50" s="6" t="n">
        <v>0</v>
      </c>
      <c r="D50" s="6" t="n">
        <v>0</v>
      </c>
      <c r="E50" s="6" t="n">
        <v>0</v>
      </c>
      <c r="F50" s="6" t="n">
        <v>8720</v>
      </c>
      <c r="G50" s="7">
        <f>D50+F50-E50</f>
        <v>8720.0</v>
      </c>
      <c r="H50" s="8" t="inlineStr">
        <is>
          <t>USD m</t>
        </is>
      </c>
      <c r="I50" s="8" t="inlineStr">
        <is>
          <t>S-1 p.F-12 (PDF p.266)</t>
        </is>
      </c>
    </row>
    <row r="51">
      <c r="A51" s="5" t="inlineStr">
        <is>
          <t>Other non-cash</t>
        </is>
      </c>
      <c r="B51" s="6" t="n">
        <v>0</v>
      </c>
      <c r="C51" s="6" t="n">
        <v>7</v>
      </c>
      <c r="D51" s="6" t="n">
        <v>11</v>
      </c>
      <c r="E51" s="6" t="n">
        <v>5</v>
      </c>
      <c r="F51" s="6" t="n">
        <v>-7</v>
      </c>
      <c r="G51" s="7">
        <f>D51+F51-E51</f>
        <v>-1.0</v>
      </c>
      <c r="H51" s="8" t="inlineStr">
        <is>
          <t>USD m</t>
        </is>
      </c>
      <c r="I51" s="8" t="inlineStr">
        <is>
          <t>S-1 p.F-12 (PDF p.266)</t>
        </is>
      </c>
    </row>
    <row r="52">
      <c r="A52" s="5" t="inlineStr">
        <is>
          <t>Change in accounts receivable</t>
        </is>
      </c>
      <c r="B52" s="6" t="n">
        <v>-10</v>
      </c>
      <c r="C52" s="6" t="n">
        <v>-90</v>
      </c>
      <c r="D52" s="6" t="n">
        <v>-834</v>
      </c>
      <c r="E52" s="6" t="n">
        <v>-384</v>
      </c>
      <c r="F52" s="6" t="n">
        <v>-4982</v>
      </c>
      <c r="G52" s="7">
        <f>D52+F52-E52</f>
        <v>-5432.0</v>
      </c>
      <c r="H52" s="8" t="inlineStr">
        <is>
          <t>USD m</t>
        </is>
      </c>
      <c r="I52" s="8" t="inlineStr">
        <is>
          <t>S-1 p.F-12 (PDF p.266)</t>
        </is>
      </c>
    </row>
    <row r="53">
      <c r="A53" s="5" t="inlineStr">
        <is>
          <t>Change in prepaid expenses and other assets</t>
        </is>
      </c>
      <c r="B53" s="6" t="n">
        <v>-1253</v>
      </c>
      <c r="C53" s="6" t="n">
        <v>-3190</v>
      </c>
      <c r="D53" s="6" t="n">
        <v>1771</v>
      </c>
      <c r="E53" s="6" t="n">
        <v>212</v>
      </c>
      <c r="F53" s="6" t="n">
        <v>2094</v>
      </c>
      <c r="G53" s="7">
        <f>D53+F53-E53</f>
        <v>3653.0</v>
      </c>
      <c r="H53" s="8" t="inlineStr">
        <is>
          <t>USD m</t>
        </is>
      </c>
      <c r="I53" s="8" t="inlineStr">
        <is>
          <t>S-1 p.F-12 (PDF p.266)</t>
        </is>
      </c>
    </row>
    <row r="54">
      <c r="A54" s="5" t="inlineStr">
        <is>
          <t>Change in payables, accrued and other liabilities</t>
        </is>
      </c>
      <c r="B54" s="6" t="n">
        <v>84</v>
      </c>
      <c r="C54" s="6" t="n">
        <v>222</v>
      </c>
      <c r="D54" s="6" t="n">
        <v>2079</v>
      </c>
      <c r="E54" s="6" t="n">
        <v>257</v>
      </c>
      <c r="F54" s="6" t="n">
        <v>2679</v>
      </c>
      <c r="G54" s="7">
        <f>D54+F54-E54</f>
        <v>4501.0</v>
      </c>
      <c r="H54" s="8" t="inlineStr">
        <is>
          <t>USD m</t>
        </is>
      </c>
      <c r="I54" s="8" t="inlineStr">
        <is>
          <t>S-1 p.F-12 (PDF p.266)</t>
        </is>
      </c>
    </row>
    <row r="55">
      <c r="A55" s="5" t="inlineStr">
        <is>
          <t>Change in lease liabilities</t>
        </is>
      </c>
      <c r="B55" s="6" t="n">
        <v>-1</v>
      </c>
      <c r="C55" s="6" t="n">
        <v>0</v>
      </c>
      <c r="D55" s="6" t="n">
        <v>13</v>
      </c>
      <c r="E55" s="6" t="n">
        <v>7</v>
      </c>
      <c r="F55" s="6" t="n">
        <v>-3</v>
      </c>
      <c r="G55" s="7">
        <f>D55+F55-E55</f>
        <v>3.0</v>
      </c>
      <c r="H55" s="8" t="inlineStr">
        <is>
          <t>USD m</t>
        </is>
      </c>
      <c r="I55" s="8" t="inlineStr">
        <is>
          <t>S-1 p.F-12 (PDF p.266)</t>
        </is>
      </c>
    </row>
    <row r="56">
      <c r="A56" s="5" t="inlineStr">
        <is>
          <t>Change in deferred revenue</t>
        </is>
      </c>
      <c r="B56" s="6" t="n">
        <v>7</v>
      </c>
      <c r="C56" s="6" t="n">
        <v>21</v>
      </c>
      <c r="D56" s="6" t="n">
        <v>241</v>
      </c>
      <c r="E56" s="6" t="n">
        <v>124</v>
      </c>
      <c r="F56" s="6" t="n">
        <v>1380</v>
      </c>
      <c r="G56" s="7">
        <f>D56+F56-E56</f>
        <v>1497.0</v>
      </c>
      <c r="H56" s="8" t="inlineStr">
        <is>
          <t>USD m</t>
        </is>
      </c>
      <c r="I56" s="8" t="inlineStr">
        <is>
          <t>S-1 p.F-12 (PDF p.266)</t>
        </is>
      </c>
    </row>
    <row r="57">
      <c r="A57" s="9" t="inlineStr">
        <is>
          <t>Net cash from operating activities</t>
        </is>
      </c>
      <c r="B57" s="10">
        <f>B45+B46+B47+B48+B49+B50+B51+B52+B53+B54+B55+B56</f>
        <v>-1627.0</v>
      </c>
      <c r="C57" s="10">
        <f>C45+C46+C47+C48+C49+C50+C51+C52+C53+C54+C55+C56</f>
        <v>-5692.0</v>
      </c>
      <c r="D57" s="10">
        <f>D45+D46+D47+D48+D49+D50+D51+D52+D53+D54+D55+D56</f>
        <v>-2637.0</v>
      </c>
      <c r="E57" s="10">
        <f>E45+E46+E47+E48+E49+E50+E51+E52+E53+E54+E55+E56</f>
        <v>-1513.0</v>
      </c>
      <c r="F57" s="10">
        <f>F45+F46+F47+F48+F49+F50+F51+F52+F53+F54+F55+F56</f>
        <v>3929.0</v>
      </c>
      <c r="G57" s="10">
        <f>G45+G46+G47+G48+G49+G50+G51+G52+G53+G54+G55+G56</f>
        <v>2805.0</v>
      </c>
      <c r="H57" s="8" t="inlineStr">
        <is>
          <t>USD m</t>
        </is>
      </c>
      <c r="I57" s="8" t="inlineStr">
        <is>
          <t>Formula</t>
        </is>
      </c>
    </row>
    <row r="58">
      <c r="A58" s="5" t="inlineStr">
        <is>
          <t>Purchases of property and equipment (capex)</t>
        </is>
      </c>
      <c r="B58" s="6" t="n">
        <v>-2</v>
      </c>
      <c r="C58" s="6" t="n">
        <v>-15</v>
      </c>
      <c r="D58" s="6" t="n">
        <v>-131</v>
      </c>
      <c r="E58" s="6" t="n">
        <v>-18</v>
      </c>
      <c r="F58" s="6" t="n">
        <v>-482</v>
      </c>
      <c r="G58" s="7">
        <f>D58+F58-E58</f>
        <v>-595.0</v>
      </c>
      <c r="H58" s="8" t="inlineStr">
        <is>
          <t>USD m</t>
        </is>
      </c>
      <c r="I58" s="8" t="inlineStr">
        <is>
          <t>S-1 p.F-12 (PDF p.266)</t>
        </is>
      </c>
    </row>
    <row r="59">
      <c r="A59" s="5" t="inlineStr">
        <is>
          <t>Purchases of short-term investments</t>
        </is>
      </c>
      <c r="B59" s="6" t="n">
        <v>0</v>
      </c>
      <c r="C59" s="6" t="n">
        <v>0</v>
      </c>
      <c r="D59" s="6" t="n">
        <v>-3082</v>
      </c>
      <c r="E59" s="6" t="n">
        <v>0</v>
      </c>
      <c r="F59" s="6" t="n">
        <v>-18972</v>
      </c>
      <c r="G59" s="7">
        <f>D59+F59-E59</f>
        <v>-22054.0</v>
      </c>
      <c r="H59" s="8" t="inlineStr">
        <is>
          <t>USD m</t>
        </is>
      </c>
      <c r="I59" s="8" t="inlineStr">
        <is>
          <t>S-1 p.F-12 (PDF p.266)</t>
        </is>
      </c>
    </row>
    <row r="60">
      <c r="A60" s="5" t="inlineStr">
        <is>
          <t>Sales and maturities of short-term investments</t>
        </is>
      </c>
      <c r="B60" s="6" t="n">
        <v>0</v>
      </c>
      <c r="C60" s="6" t="n">
        <v>0</v>
      </c>
      <c r="D60" s="6" t="n">
        <v>213</v>
      </c>
      <c r="E60" s="6" t="n">
        <v>0</v>
      </c>
      <c r="F60" s="6" t="n">
        <v>2610</v>
      </c>
      <c r="G60" s="7">
        <f>D60+F60-E60</f>
        <v>2823.0</v>
      </c>
      <c r="H60" s="8" t="inlineStr">
        <is>
          <t>USD m</t>
        </is>
      </c>
      <c r="I60" s="8" t="inlineStr">
        <is>
          <t>S-1 p.F-12 (PDF p.266)</t>
        </is>
      </c>
    </row>
    <row r="61">
      <c r="A61" s="5" t="inlineStr">
        <is>
          <t>Other investing activities</t>
        </is>
      </c>
      <c r="B61" s="6" t="n">
        <v>0</v>
      </c>
      <c r="C61" s="6" t="n">
        <v>-7</v>
      </c>
      <c r="D61" s="6" t="n">
        <v>-77</v>
      </c>
      <c r="E61" s="6" t="n">
        <v>-31</v>
      </c>
      <c r="F61" s="6" t="n">
        <v>-337</v>
      </c>
      <c r="G61" s="7">
        <f>D61+F61-E61</f>
        <v>-383.0</v>
      </c>
      <c r="H61" s="8" t="inlineStr">
        <is>
          <t>USD m</t>
        </is>
      </c>
      <c r="I61" s="8" t="inlineStr">
        <is>
          <t>S-1 p.F-12 (PDF p.266)</t>
        </is>
      </c>
    </row>
    <row r="62">
      <c r="A62" s="9" t="inlineStr">
        <is>
          <t>Net cash from investing activities</t>
        </is>
      </c>
      <c r="B62" s="10">
        <f>B58+B59+B60+B61</f>
        <v>-2.0</v>
      </c>
      <c r="C62" s="10">
        <f>C58+C59+C60+C61</f>
        <v>-22.0</v>
      </c>
      <c r="D62" s="10">
        <f>D58+D59+D60+D61</f>
        <v>-3077.0</v>
      </c>
      <c r="E62" s="10">
        <f>E58+E59+E60+E61</f>
        <v>-49.0</v>
      </c>
      <c r="F62" s="10">
        <f>F58+F59+F60+F61</f>
        <v>-17181.0</v>
      </c>
      <c r="G62" s="10">
        <f>G58+G59+G60+G61</f>
        <v>-20209.0</v>
      </c>
      <c r="H62" s="8" t="inlineStr">
        <is>
          <t>USD m</t>
        </is>
      </c>
      <c r="I62" s="8" t="inlineStr">
        <is>
          <t>Formula</t>
        </is>
      </c>
    </row>
    <row r="63">
      <c r="A63" s="5" t="inlineStr">
        <is>
          <t>Proceeds from preferred stock, net</t>
        </is>
      </c>
      <c r="B63" s="6" t="n">
        <v>445</v>
      </c>
      <c r="C63" s="6" t="n">
        <v>1188</v>
      </c>
      <c r="D63" s="6" t="n">
        <v>16548</v>
      </c>
      <c r="E63" s="6" t="n">
        <v>3549</v>
      </c>
      <c r="F63" s="6" t="n">
        <v>110432</v>
      </c>
      <c r="G63" s="7">
        <f>D63+F63-E63</f>
        <v>123431.0</v>
      </c>
      <c r="H63" s="8" t="inlineStr">
        <is>
          <t>USD m</t>
        </is>
      </c>
      <c r="I63" s="8" t="inlineStr">
        <is>
          <t>S-1 p.F-12 (PDF p.266)</t>
        </is>
      </c>
    </row>
    <row r="64">
      <c r="A64" s="5" t="inlineStr">
        <is>
          <t>Principal payments for finance leases</t>
        </is>
      </c>
      <c r="B64" s="6" t="n">
        <v>0</v>
      </c>
      <c r="C64" s="6" t="n">
        <v>0</v>
      </c>
      <c r="D64" s="6" t="n">
        <v>0</v>
      </c>
      <c r="E64" s="6" t="n">
        <v>0</v>
      </c>
      <c r="F64" s="6" t="n">
        <v>-4</v>
      </c>
      <c r="G64" s="7">
        <f>D64+F64-E64</f>
        <v>-4.0</v>
      </c>
      <c r="H64" s="8" t="inlineStr">
        <is>
          <t>USD m</t>
        </is>
      </c>
      <c r="I64" s="8" t="inlineStr">
        <is>
          <t>S-1 p.F-12 (PDF p.266)</t>
        </is>
      </c>
    </row>
    <row r="65">
      <c r="A65" s="5" t="inlineStr">
        <is>
          <t>Issuance of convertible notes for cash</t>
        </is>
      </c>
      <c r="B65" s="6" t="n">
        <v>1750</v>
      </c>
      <c r="C65" s="6" t="n">
        <v>6050</v>
      </c>
      <c r="D65" s="6" t="n">
        <v>3450</v>
      </c>
      <c r="E65" s="6" t="n">
        <v>1300</v>
      </c>
      <c r="F65" s="6" t="n">
        <v>0</v>
      </c>
      <c r="G65" s="7">
        <f>D65+F65-E65</f>
        <v>2150.0</v>
      </c>
      <c r="H65" s="8" t="inlineStr">
        <is>
          <t>USD m</t>
        </is>
      </c>
      <c r="I65" s="8" t="inlineStr">
        <is>
          <t>S-1 p.F-12 (PDF p.266)</t>
        </is>
      </c>
    </row>
    <row r="66">
      <c r="A66" s="5" t="inlineStr">
        <is>
          <t>Proceeds from issuance of common stock</t>
        </is>
      </c>
      <c r="B66" s="6" t="n">
        <v>3</v>
      </c>
      <c r="C66" s="6" t="n">
        <v>10</v>
      </c>
      <c r="D66" s="6" t="n">
        <v>111</v>
      </c>
      <c r="E66" s="6" t="n">
        <v>49</v>
      </c>
      <c r="F66" s="6" t="n">
        <v>355</v>
      </c>
      <c r="G66" s="7">
        <f>D66+F66-E66</f>
        <v>417.0</v>
      </c>
      <c r="H66" s="8" t="inlineStr">
        <is>
          <t>USD m</t>
        </is>
      </c>
      <c r="I66" s="8" t="inlineStr">
        <is>
          <t>S-1 p.F-12 (PDF p.266)</t>
        </is>
      </c>
    </row>
    <row r="67">
      <c r="A67" s="5" t="inlineStr">
        <is>
          <t>Repurchase of common stock</t>
        </is>
      </c>
      <c r="B67" s="6" t="n">
        <v>0</v>
      </c>
      <c r="C67" s="6" t="n">
        <v>0</v>
      </c>
      <c r="D67" s="6" t="n">
        <v>-149</v>
      </c>
      <c r="E67" s="6" t="n">
        <v>-149</v>
      </c>
      <c r="F67" s="6" t="n">
        <v>0</v>
      </c>
      <c r="G67" s="7">
        <f>D67+F67-E67</f>
        <v>0.0</v>
      </c>
      <c r="H67" s="8" t="inlineStr">
        <is>
          <t>USD m</t>
        </is>
      </c>
      <c r="I67" s="8" t="inlineStr">
        <is>
          <t>S-1 p.F-12 (PDF p.266)</t>
        </is>
      </c>
    </row>
    <row r="68">
      <c r="A68" s="5" t="inlineStr">
        <is>
          <t>Issuance of SAFEs for cash</t>
        </is>
      </c>
      <c r="B68" s="6" t="n">
        <v>122</v>
      </c>
      <c r="C68" s="6" t="n">
        <v>0</v>
      </c>
      <c r="D68" s="6" t="n">
        <v>0</v>
      </c>
      <c r="E68" s="6" t="n">
        <v>0</v>
      </c>
      <c r="F68" s="6" t="n">
        <v>0</v>
      </c>
      <c r="G68" s="7">
        <f>D68+F68-E68</f>
        <v>0.0</v>
      </c>
      <c r="H68" s="8" t="inlineStr">
        <is>
          <t>USD m</t>
        </is>
      </c>
      <c r="I68" s="8" t="inlineStr">
        <is>
          <t>S-1 p.F-12 (PDF p.266)</t>
        </is>
      </c>
    </row>
    <row r="69">
      <c r="A69" s="5" t="inlineStr">
        <is>
          <t>Payment of deferred offering costs</t>
        </is>
      </c>
      <c r="B69" s="6" t="n">
        <v>0</v>
      </c>
      <c r="C69" s="6" t="n">
        <v>0</v>
      </c>
      <c r="D69" s="6" t="n">
        <v>0</v>
      </c>
      <c r="E69" s="6" t="n">
        <v>0</v>
      </c>
      <c r="F69" s="6" t="n">
        <v>-9</v>
      </c>
      <c r="G69" s="7">
        <f>D69+F69-E69</f>
        <v>-9.0</v>
      </c>
      <c r="H69" s="8" t="inlineStr">
        <is>
          <t>USD m</t>
        </is>
      </c>
      <c r="I69" s="8" t="inlineStr">
        <is>
          <t>S-1 p.F-12 (PDF p.266)</t>
        </is>
      </c>
    </row>
    <row r="70">
      <c r="A70" s="9" t="inlineStr">
        <is>
          <t>Net cash from financing activities</t>
        </is>
      </c>
      <c r="B70" s="10">
        <f>B63+B64+B65+B66+B67+B68+B69</f>
        <v>2320.0</v>
      </c>
      <c r="C70" s="10">
        <f>C63+C64+C65+C66+C67+C68+C69</f>
        <v>7248.0</v>
      </c>
      <c r="D70" s="10">
        <f>D63+D64+D65+D66+D67+D68+D69</f>
        <v>19960.0</v>
      </c>
      <c r="E70" s="10">
        <f>E63+E64+E65+E66+E67+E68+E69</f>
        <v>4749.0</v>
      </c>
      <c r="F70" s="10">
        <f>F63+F64+F65+F66+F67+F68+F69</f>
        <v>110774.0</v>
      </c>
      <c r="G70" s="10">
        <f>G63+G64+G65+G66+G67+G68+G69</f>
        <v>125985.0</v>
      </c>
      <c r="H70" s="8" t="inlineStr">
        <is>
          <t>USD m</t>
        </is>
      </c>
      <c r="I70" s="8" t="inlineStr">
        <is>
          <t>Formula</t>
        </is>
      </c>
    </row>
    <row r="71">
      <c r="A71" s="5" t="inlineStr">
        <is>
          <t>Effect of exchange rate changes</t>
        </is>
      </c>
      <c r="B71" s="6" t="n">
        <v>0</v>
      </c>
      <c r="C71" s="6" t="n">
        <v>0</v>
      </c>
      <c r="D71" s="6" t="n">
        <v>1</v>
      </c>
      <c r="E71" s="6" t="n">
        <v>1</v>
      </c>
      <c r="F71" s="6" t="n">
        <v>-5</v>
      </c>
      <c r="G71" s="7">
        <f>D71+F71-E71</f>
        <v>-5.0</v>
      </c>
      <c r="H71" s="8" t="inlineStr">
        <is>
          <t>USD m</t>
        </is>
      </c>
      <c r="I71" s="8" t="inlineStr">
        <is>
          <t>S-1 p.F-12 (PDF p.266)</t>
        </is>
      </c>
    </row>
    <row r="72">
      <c r="A72" s="5" t="inlineStr">
        <is>
          <t>Net change in cash and restricted cash</t>
        </is>
      </c>
      <c r="B72" s="7">
        <f>B57+B62+B70+B71</f>
        <v>691.0</v>
      </c>
      <c r="C72" s="7">
        <f>C57+C62+C70+C71</f>
        <v>1534.0</v>
      </c>
      <c r="D72" s="7">
        <f>D57+D62+D70+D71</f>
        <v>14247.0</v>
      </c>
      <c r="E72" s="7">
        <f>E57+E62+E70+E71</f>
        <v>3188.0</v>
      </c>
      <c r="F72" s="7">
        <f>F57+F62+F70+F71</f>
        <v>97517.0</v>
      </c>
      <c r="H72" s="8" t="inlineStr">
        <is>
          <t>USD m</t>
        </is>
      </c>
      <c r="I72" s="8" t="inlineStr">
        <is>
          <t>Formula</t>
        </is>
      </c>
    </row>
    <row r="73">
      <c r="A73" s="5" t="inlineStr">
        <is>
          <t>Cash and restricted cash - beginning</t>
        </is>
      </c>
      <c r="B73" s="6" t="n">
        <v>929</v>
      </c>
      <c r="C73" s="6" t="n">
        <v>1620</v>
      </c>
      <c r="D73" s="6" t="n">
        <v>3154</v>
      </c>
      <c r="E73" s="6" t="n">
        <v>3154</v>
      </c>
      <c r="F73" s="6" t="n">
        <v>17401</v>
      </c>
      <c r="H73" s="8" t="inlineStr">
        <is>
          <t>USD m</t>
        </is>
      </c>
      <c r="I73" s="8" t="inlineStr">
        <is>
          <t>S-1 p.F-13 (PDF p.267)</t>
        </is>
      </c>
    </row>
    <row r="74">
      <c r="A74" s="9" t="inlineStr">
        <is>
          <t>Cash and restricted cash - end</t>
        </is>
      </c>
      <c r="B74" s="10">
        <f>B73+B72</f>
        <v>1620.0</v>
      </c>
      <c r="C74" s="10">
        <f>C73+C72</f>
        <v>3154.0</v>
      </c>
      <c r="D74" s="10">
        <f>D73+D72</f>
        <v>17401.0</v>
      </c>
      <c r="E74" s="10">
        <f>E73+E72</f>
        <v>6342.0</v>
      </c>
      <c r="F74" s="10">
        <f>F73+F72</f>
        <v>114918.0</v>
      </c>
      <c r="H74" s="8" t="inlineStr">
        <is>
          <t>USD m</t>
        </is>
      </c>
      <c r="I74" s="8" t="inlineStr">
        <is>
          <t>Formula</t>
        </is>
      </c>
    </row>
    <row r="75">
      <c r="A75" s="5" t="inlineStr">
        <is>
          <t>Memo: equipment obtained under finance leases (non-cash)</t>
        </is>
      </c>
      <c r="B75" s="6" t="n">
        <v>0</v>
      </c>
      <c r="C75" s="6" t="n">
        <v>0</v>
      </c>
      <c r="D75" s="6" t="n">
        <v>0</v>
      </c>
      <c r="E75" s="6" t="n">
        <v>0</v>
      </c>
      <c r="F75" s="6" t="n">
        <v>445</v>
      </c>
      <c r="G75" s="7">
        <f>D75+F75-E75</f>
        <v>445.0</v>
      </c>
      <c r="H75" s="8" t="inlineStr">
        <is>
          <t>USD m</t>
        </is>
      </c>
      <c r="I75" s="8" t="inlineStr">
        <is>
          <t>S-1 p.F-38 (PDF p.286)</t>
        </is>
      </c>
    </row>
    <row r="77">
      <c r="A77" s="3" t="inlineStr">
        <is>
          <t>Balance sheet</t>
        </is>
      </c>
      <c r="B77" s="4" t="inlineStr">
        <is>
          <t>Dec-2024</t>
        </is>
      </c>
      <c r="C77" s="4" t="inlineStr">
        <is>
          <t>Dec-2025</t>
        </is>
      </c>
      <c r="D77" s="4" t="inlineStr">
        <is>
          <t>Jun-2026</t>
        </is>
      </c>
      <c r="E77" s="4" t="inlineStr"/>
      <c r="F77" s="4" t="inlineStr"/>
      <c r="G77" s="4" t="inlineStr"/>
      <c r="H77" s="4" t="inlineStr">
        <is>
          <t>Unit</t>
        </is>
      </c>
      <c r="I77" s="4" t="inlineStr">
        <is>
          <t>Source</t>
        </is>
      </c>
    </row>
    <row r="78">
      <c r="A78" s="5" t="inlineStr">
        <is>
          <t>Cash and cash equivalents</t>
        </is>
      </c>
      <c r="B78" s="6" t="n">
        <v>3141</v>
      </c>
      <c r="C78" s="6" t="n">
        <v>17388</v>
      </c>
      <c r="D78" s="6" t="n">
        <v>112389</v>
      </c>
      <c r="H78" s="8" t="inlineStr">
        <is>
          <t>USD m</t>
        </is>
      </c>
      <c r="I78" s="8" t="inlineStr">
        <is>
          <t>S-1 p.F-5 (PDF p.261)</t>
        </is>
      </c>
    </row>
    <row r="79">
      <c r="A79" s="5" t="inlineStr">
        <is>
          <t>Short-term investments</t>
        </is>
      </c>
      <c r="B79" s="6" t="n">
        <v>0</v>
      </c>
      <c r="C79" s="6" t="n">
        <v>2889</v>
      </c>
      <c r="D79" s="6" t="n">
        <v>19262</v>
      </c>
      <c r="H79" s="8" t="inlineStr">
        <is>
          <t>USD m</t>
        </is>
      </c>
      <c r="I79" s="8" t="inlineStr">
        <is>
          <t>S-1 p.F-5 (PDF p.261)</t>
        </is>
      </c>
    </row>
    <row r="80">
      <c r="A80" s="5" t="inlineStr">
        <is>
          <t>Accounts receivable, net</t>
        </is>
      </c>
      <c r="B80" s="6" t="n">
        <v>95</v>
      </c>
      <c r="C80" s="6" t="n">
        <v>909</v>
      </c>
      <c r="D80" s="6" t="n">
        <v>5833</v>
      </c>
      <c r="H80" s="8" t="inlineStr">
        <is>
          <t>USD m</t>
        </is>
      </c>
      <c r="I80" s="8" t="inlineStr">
        <is>
          <t>S-1 p.F-5 (PDF p.261)</t>
        </is>
      </c>
    </row>
    <row r="81">
      <c r="A81" s="5" t="inlineStr">
        <is>
          <t>Prepaid expenses and other current assets</t>
        </is>
      </c>
      <c r="B81" s="6" t="n">
        <v>2076</v>
      </c>
      <c r="C81" s="6" t="n">
        <v>2560</v>
      </c>
      <c r="D81" s="6" t="n">
        <v>496</v>
      </c>
      <c r="H81" s="8" t="inlineStr">
        <is>
          <t>USD m</t>
        </is>
      </c>
      <c r="I81" s="8" t="inlineStr">
        <is>
          <t>S-1 p.F-5 (PDF p.261)</t>
        </is>
      </c>
    </row>
    <row r="82">
      <c r="A82" s="9" t="inlineStr">
        <is>
          <t>Total current assets</t>
        </is>
      </c>
      <c r="B82" s="10">
        <f>B78+B79+B80+B81</f>
        <v>5312.0</v>
      </c>
      <c r="C82" s="10">
        <f>C78+C79+C80+C81</f>
        <v>23746.0</v>
      </c>
      <c r="D82" s="10">
        <f>D78+D79+D80+D81</f>
        <v>137980.0</v>
      </c>
      <c r="H82" s="8" t="inlineStr">
        <is>
          <t>USD m</t>
        </is>
      </c>
      <c r="I82" s="8" t="inlineStr">
        <is>
          <t>Formula</t>
        </is>
      </c>
    </row>
    <row r="83">
      <c r="A83" s="5" t="inlineStr">
        <is>
          <t>Restricted cash</t>
        </is>
      </c>
      <c r="B83" s="6" t="n">
        <v>13</v>
      </c>
      <c r="C83" s="6" t="n">
        <v>13</v>
      </c>
      <c r="D83" s="6" t="n">
        <v>2529</v>
      </c>
      <c r="H83" s="8" t="inlineStr">
        <is>
          <t>USD m</t>
        </is>
      </c>
      <c r="I83" s="8" t="inlineStr">
        <is>
          <t>S-1 p.F-5 (PDF p.261)</t>
        </is>
      </c>
    </row>
    <row r="84">
      <c r="A84" s="5" t="inlineStr">
        <is>
          <t>Property and equipment, net</t>
        </is>
      </c>
      <c r="B84" s="6" t="n">
        <v>19</v>
      </c>
      <c r="C84" s="6" t="n">
        <v>146</v>
      </c>
      <c r="D84" s="6" t="n">
        <v>1187</v>
      </c>
      <c r="H84" s="8" t="inlineStr">
        <is>
          <t>USD m</t>
        </is>
      </c>
      <c r="I84" s="8" t="inlineStr">
        <is>
          <t>S-1 p.F-5 (PDF p.261)</t>
        </is>
      </c>
    </row>
    <row r="85">
      <c r="A85" s="5" t="inlineStr">
        <is>
          <t>Operating lease right-of-use assets</t>
        </is>
      </c>
      <c r="B85" s="6" t="n">
        <v>35</v>
      </c>
      <c r="C85" s="6" t="n">
        <v>126</v>
      </c>
      <c r="D85" s="6" t="n">
        <v>1157</v>
      </c>
      <c r="H85" s="8" t="inlineStr">
        <is>
          <t>USD m</t>
        </is>
      </c>
      <c r="I85" s="8" t="inlineStr">
        <is>
          <t>S-1 p.F-5 (PDF p.261)</t>
        </is>
      </c>
    </row>
    <row r="86">
      <c r="A86" s="5" t="inlineStr">
        <is>
          <t>Goodwill</t>
        </is>
      </c>
      <c r="B86" s="6" t="n">
        <v>0</v>
      </c>
      <c r="C86" s="6" t="n">
        <v>154</v>
      </c>
      <c r="D86" s="6" t="n">
        <v>576</v>
      </c>
      <c r="H86" s="8" t="inlineStr">
        <is>
          <t>USD m</t>
        </is>
      </c>
      <c r="I86" s="8" t="inlineStr">
        <is>
          <t>S-1 p.F-5 (PDF p.261)</t>
        </is>
      </c>
    </row>
    <row r="87">
      <c r="A87" s="5" t="inlineStr">
        <is>
          <t>Other assets, noncurrent</t>
        </is>
      </c>
      <c r="B87" s="6" t="n">
        <v>2373</v>
      </c>
      <c r="C87" s="6" t="n">
        <v>476</v>
      </c>
      <c r="D87" s="6" t="n">
        <v>3929</v>
      </c>
      <c r="H87" s="8" t="inlineStr">
        <is>
          <t>USD m</t>
        </is>
      </c>
      <c r="I87" s="8" t="inlineStr">
        <is>
          <t>S-1 p.F-5 (PDF p.261)</t>
        </is>
      </c>
    </row>
    <row r="88">
      <c r="A88" s="9" t="inlineStr">
        <is>
          <t>Total assets</t>
        </is>
      </c>
      <c r="B88" s="10">
        <f>B82+B83+B84+B85+B86+B87</f>
        <v>7752.0</v>
      </c>
      <c r="C88" s="10">
        <f>C82+C83+C84+C85+C86+C87</f>
        <v>24661.0</v>
      </c>
      <c r="D88" s="10">
        <f>D82+D83+D84+D85+D86+D87</f>
        <v>147358.0</v>
      </c>
      <c r="H88" s="8" t="inlineStr">
        <is>
          <t>USD m</t>
        </is>
      </c>
      <c r="I88" s="8" t="inlineStr">
        <is>
          <t>Formula</t>
        </is>
      </c>
    </row>
    <row r="89">
      <c r="A89" s="5" t="inlineStr">
        <is>
          <t>Accounts payable, accrued expenses, and other current liabilities</t>
        </is>
      </c>
      <c r="B89" s="6" t="n">
        <v>333</v>
      </c>
      <c r="C89" s="6" t="n">
        <v>2511</v>
      </c>
      <c r="D89" s="6" t="n">
        <v>5422</v>
      </c>
      <c r="H89" s="8" t="inlineStr">
        <is>
          <t>USD m</t>
        </is>
      </c>
      <c r="I89" s="8" t="inlineStr">
        <is>
          <t>S-1 p.F-5 (PDF p.261)</t>
        </is>
      </c>
    </row>
    <row r="90">
      <c r="A90" s="5" t="inlineStr">
        <is>
          <t>Operating lease liabilities, current</t>
        </is>
      </c>
      <c r="B90" s="6" t="n">
        <v>13</v>
      </c>
      <c r="C90" s="6" t="n">
        <v>37</v>
      </c>
      <c r="D90" s="6" t="n">
        <v>148</v>
      </c>
      <c r="H90" s="8" t="inlineStr">
        <is>
          <t>USD m</t>
        </is>
      </c>
      <c r="I90" s="8" t="inlineStr">
        <is>
          <t>S-1 p.F-5 (PDF p.261)</t>
        </is>
      </c>
    </row>
    <row r="91">
      <c r="A91" s="5" t="inlineStr">
        <is>
          <t>Deferred revenue</t>
        </is>
      </c>
      <c r="B91" s="6" t="n">
        <v>28</v>
      </c>
      <c r="C91" s="6" t="n">
        <v>269</v>
      </c>
      <c r="D91" s="6" t="n">
        <v>1650</v>
      </c>
      <c r="H91" s="8" t="inlineStr">
        <is>
          <t>USD m</t>
        </is>
      </c>
      <c r="I91" s="8" t="inlineStr">
        <is>
          <t>S-1 p.F-5 (PDF p.261)</t>
        </is>
      </c>
    </row>
    <row r="92">
      <c r="A92" s="9" t="inlineStr">
        <is>
          <t>Total current liabilities</t>
        </is>
      </c>
      <c r="B92" s="10">
        <f>B89+B90+B91</f>
        <v>374.0</v>
      </c>
      <c r="C92" s="10">
        <f>C89+C90+C91</f>
        <v>2817.0</v>
      </c>
      <c r="D92" s="10">
        <f>D89+D90+D91</f>
        <v>7220.0</v>
      </c>
      <c r="H92" s="8" t="inlineStr">
        <is>
          <t>USD m</t>
        </is>
      </c>
      <c r="I92" s="8" t="inlineStr">
        <is>
          <t>Formula</t>
        </is>
      </c>
    </row>
    <row r="93">
      <c r="A93" s="5" t="inlineStr">
        <is>
          <t>Operating lease liabilities, noncurrent</t>
        </is>
      </c>
      <c r="B93" s="6" t="n">
        <v>39</v>
      </c>
      <c r="C93" s="6" t="n">
        <v>80</v>
      </c>
      <c r="D93" s="6" t="n">
        <v>931</v>
      </c>
      <c r="H93" s="8" t="inlineStr">
        <is>
          <t>USD m</t>
        </is>
      </c>
      <c r="I93" s="8" t="inlineStr">
        <is>
          <t>S-1 p.F-5 (PDF p.261)</t>
        </is>
      </c>
    </row>
    <row r="94">
      <c r="A94" s="5" t="inlineStr">
        <is>
          <t>Convertible notes payable (fair value)</t>
        </is>
      </c>
      <c r="B94" s="6" t="n">
        <v>14116</v>
      </c>
      <c r="C94" s="6" t="n">
        <v>41677</v>
      </c>
      <c r="D94" s="6" t="n">
        <v>108566</v>
      </c>
      <c r="H94" s="8" t="inlineStr">
        <is>
          <t>USD m</t>
        </is>
      </c>
      <c r="I94" s="8" t="inlineStr">
        <is>
          <t>S-1 p.F-5 (PDF p.261)</t>
        </is>
      </c>
    </row>
    <row r="95">
      <c r="A95" s="5" t="inlineStr">
        <is>
          <t>Other noncurrent liabilities</t>
        </is>
      </c>
      <c r="B95" s="6" t="n">
        <v>150</v>
      </c>
      <c r="C95" s="6" t="n">
        <v>823</v>
      </c>
      <c r="D95" s="6" t="n">
        <v>750</v>
      </c>
      <c r="H95" s="8" t="inlineStr">
        <is>
          <t>USD m</t>
        </is>
      </c>
      <c r="I95" s="8" t="inlineStr">
        <is>
          <t>S-1 p.F-5 (PDF p.261)</t>
        </is>
      </c>
    </row>
    <row r="96">
      <c r="A96" s="9" t="inlineStr">
        <is>
          <t>Total liabilities</t>
        </is>
      </c>
      <c r="B96" s="10">
        <f>B92+B93+B94+B95</f>
        <v>14679.0</v>
      </c>
      <c r="C96" s="10">
        <f>C92+C93+C94+C95</f>
        <v>45397.0</v>
      </c>
      <c r="D96" s="10">
        <f>D92+D93+D94+D95</f>
        <v>117467.0</v>
      </c>
      <c r="H96" s="8" t="inlineStr">
        <is>
          <t>USD m</t>
        </is>
      </c>
      <c r="I96" s="8" t="inlineStr">
        <is>
          <t>Formula</t>
        </is>
      </c>
    </row>
    <row r="97">
      <c r="A97" s="5" t="inlineStr">
        <is>
          <t>Redeemable convertible preferred stock</t>
        </is>
      </c>
      <c r="B97" s="6" t="n">
        <v>2874</v>
      </c>
      <c r="C97" s="6" t="n">
        <v>29769</v>
      </c>
      <c r="D97" s="6" t="n">
        <v>157510</v>
      </c>
      <c r="H97" s="8" t="inlineStr">
        <is>
          <t>USD m</t>
        </is>
      </c>
      <c r="I97" s="8" t="inlineStr">
        <is>
          <t>S-1 p.F-5 (PDF p.262)</t>
        </is>
      </c>
    </row>
    <row r="98">
      <c r="A98" s="5" t="inlineStr">
        <is>
          <t>Additional paid-in capital</t>
        </is>
      </c>
      <c r="B98" s="6" t="n">
        <v>239</v>
      </c>
      <c r="C98" s="6" t="n">
        <v>1644</v>
      </c>
      <c r="D98" s="6" t="n">
        <v>5336</v>
      </c>
      <c r="H98" s="8" t="inlineStr">
        <is>
          <t>USD m</t>
        </is>
      </c>
      <c r="I98" s="8" t="inlineStr">
        <is>
          <t>S-1 p.F-6 (PDF p.262)</t>
        </is>
      </c>
    </row>
    <row r="99">
      <c r="A99" s="5" t="inlineStr">
        <is>
          <t>Accumulated other comprehensive income (loss)</t>
        </is>
      </c>
      <c r="B99" s="6" t="n">
        <v>0</v>
      </c>
      <c r="C99" s="6" t="n">
        <v>5</v>
      </c>
      <c r="D99" s="6" t="n">
        <v>-53</v>
      </c>
      <c r="H99" s="8" t="inlineStr">
        <is>
          <t>USD m</t>
        </is>
      </c>
      <c r="I99" s="8" t="inlineStr">
        <is>
          <t>S-1 p.F-6 (PDF p.262)</t>
        </is>
      </c>
    </row>
    <row r="100">
      <c r="A100" s="5" t="inlineStr">
        <is>
          <t>Accumulated deficit</t>
        </is>
      </c>
      <c r="B100" s="6" t="n">
        <v>-10040</v>
      </c>
      <c r="C100" s="6" t="n">
        <v>-52154</v>
      </c>
      <c r="D100" s="6" t="n">
        <v>-132902</v>
      </c>
      <c r="H100" s="8" t="inlineStr">
        <is>
          <t>USD m</t>
        </is>
      </c>
      <c r="I100" s="8" t="inlineStr">
        <is>
          <t>S-1 p.F-6 (PDF p.262)</t>
        </is>
      </c>
    </row>
    <row r="101">
      <c r="A101" s="9" t="inlineStr">
        <is>
          <t>Total stockholders' deficit</t>
        </is>
      </c>
      <c r="B101" s="10">
        <f>B98+B99+B100</f>
        <v>-9801.0</v>
      </c>
      <c r="C101" s="10">
        <f>C98+C99+C100</f>
        <v>-50505.0</v>
      </c>
      <c r="D101" s="10">
        <f>D98+D99+D100</f>
        <v>-127619.0</v>
      </c>
      <c r="H101" s="8" t="inlineStr">
        <is>
          <t>USD m</t>
        </is>
      </c>
      <c r="I101" s="8" t="inlineStr">
        <is>
          <t>Formula</t>
        </is>
      </c>
    </row>
    <row r="102">
      <c r="A102" s="9" t="inlineStr">
        <is>
          <t>Total liabilities, preferred stock and stockholders' deficit</t>
        </is>
      </c>
      <c r="B102" s="10">
        <f>B96+B97+B101</f>
        <v>7752.0</v>
      </c>
      <c r="C102" s="10">
        <f>C96+C97+C101</f>
        <v>24661.0</v>
      </c>
      <c r="D102" s="10">
        <f>D96+D97+D101</f>
        <v>147358.0</v>
      </c>
      <c r="H102" s="8" t="inlineStr">
        <is>
          <t>USD m</t>
        </is>
      </c>
      <c r="I102" s="8" t="inlineStr">
        <is>
          <t>Formula</t>
        </is>
      </c>
    </row>
    <row r="103">
      <c r="A103" s="5" t="inlineStr">
        <is>
          <t>Memo: cash, cash equivalents and short-term investments</t>
        </is>
      </c>
      <c r="B103" s="7">
        <f>B78+B79</f>
        <v>3141.0</v>
      </c>
      <c r="C103" s="7">
        <f>C78+C79</f>
        <v>20277.0</v>
      </c>
      <c r="D103" s="7">
        <f>D78+D79</f>
        <v>131651.0</v>
      </c>
      <c r="H103" s="8" t="inlineStr">
        <is>
          <t>USD m</t>
        </is>
      </c>
      <c r="I103" s="8" t="inlineStr">
        <is>
          <t>Formula</t>
        </is>
      </c>
    </row>
    <row r="104">
      <c r="A104" s="5" t="inlineStr">
        <is>
          <t>Memo: cash and equivalents + restricted cash</t>
        </is>
      </c>
      <c r="B104" s="7">
        <f>B78+B83</f>
        <v>3154.0</v>
      </c>
      <c r="C104" s="7">
        <f>C78+C83</f>
        <v>17401.0</v>
      </c>
      <c r="D104" s="7">
        <f>D78+D83</f>
        <v>114918.0</v>
      </c>
      <c r="H104" s="8" t="inlineStr">
        <is>
          <t>USD m</t>
        </is>
      </c>
      <c r="I104" s="8" t="inlineStr">
        <is>
          <t>Formula</t>
        </is>
      </c>
    </row>
    <row r="106">
      <c r="A106" s="3" t="inlineStr">
        <is>
          <t>Quarterly (unaudited)</t>
        </is>
      </c>
      <c r="B106" s="4" t="inlineStr">
        <is>
          <t>Q1-2025</t>
        </is>
      </c>
      <c r="C106" s="4" t="inlineStr">
        <is>
          <t>Q2-2025</t>
        </is>
      </c>
      <c r="D106" s="4" t="inlineStr">
        <is>
          <t>Q3-2025</t>
        </is>
      </c>
      <c r="E106" s="4" t="inlineStr">
        <is>
          <t>Q4-2025</t>
        </is>
      </c>
      <c r="F106" s="4" t="inlineStr">
        <is>
          <t>Q1-2026</t>
        </is>
      </c>
      <c r="G106" s="4" t="inlineStr">
        <is>
          <t>Q2-2026</t>
        </is>
      </c>
      <c r="H106" s="4" t="inlineStr">
        <is>
          <t>Unit</t>
        </is>
      </c>
      <c r="I106" s="4" t="inlineStr">
        <is>
          <t>Source</t>
        </is>
      </c>
    </row>
    <row r="107">
      <c r="A107" s="5" t="inlineStr">
        <is>
          <t>Revenue</t>
        </is>
      </c>
      <c r="B107" s="6" t="n">
        <v>376</v>
      </c>
      <c r="C107" s="6" t="n">
        <v>787</v>
      </c>
      <c r="D107" s="6" t="n">
        <v>1382</v>
      </c>
      <c r="E107" s="6" t="n">
        <v>2040</v>
      </c>
      <c r="F107" s="6" t="n">
        <v>4731</v>
      </c>
      <c r="G107" s="6" t="n">
        <v>11555</v>
      </c>
      <c r="H107" s="8" t="inlineStr">
        <is>
          <t>USD m</t>
        </is>
      </c>
      <c r="I107" s="8" t="inlineStr">
        <is>
          <t>S-1 p.157 (PDF p.125)</t>
        </is>
      </c>
    </row>
    <row r="108">
      <c r="A108" s="5" t="inlineStr">
        <is>
          <t>Compute and infrastructure</t>
        </is>
      </c>
      <c r="B108" s="6" t="n">
        <v>944</v>
      </c>
      <c r="C108" s="6" t="n">
        <v>1390</v>
      </c>
      <c r="D108" s="6" t="n">
        <v>2047</v>
      </c>
      <c r="E108" s="6" t="n">
        <v>2945</v>
      </c>
      <c r="F108" s="6" t="n">
        <v>3387</v>
      </c>
      <c r="G108" s="6" t="n">
        <v>5558</v>
      </c>
      <c r="H108" s="8" t="inlineStr">
        <is>
          <t>USD m</t>
        </is>
      </c>
      <c r="I108" s="8" t="inlineStr">
        <is>
          <t>S-1 p.157 (PDF p.125)</t>
        </is>
      </c>
    </row>
    <row r="109">
      <c r="A109" s="5" t="inlineStr">
        <is>
          <t>Personnel</t>
        </is>
      </c>
      <c r="B109" s="6" t="n">
        <v>218</v>
      </c>
      <c r="C109" s="6" t="n">
        <v>320</v>
      </c>
      <c r="D109" s="6" t="n">
        <v>489</v>
      </c>
      <c r="E109" s="6" t="n">
        <v>812</v>
      </c>
      <c r="F109" s="6" t="n">
        <v>1295</v>
      </c>
      <c r="G109" s="6" t="n">
        <v>1857</v>
      </c>
      <c r="H109" s="8" t="inlineStr">
        <is>
          <t>USD m</t>
        </is>
      </c>
      <c r="I109" s="8" t="inlineStr">
        <is>
          <t>S-1 p.157 (PDF p.125)</t>
        </is>
      </c>
    </row>
    <row r="110">
      <c r="A110" s="5" t="inlineStr">
        <is>
          <t>Bartz settlement</t>
        </is>
      </c>
      <c r="B110" s="6" t="n">
        <v>0</v>
      </c>
      <c r="C110" s="6" t="n">
        <v>0</v>
      </c>
      <c r="D110" s="6" t="n">
        <v>1500</v>
      </c>
      <c r="E110" s="6" t="n">
        <v>0</v>
      </c>
      <c r="F110" s="6" t="n">
        <v>0</v>
      </c>
      <c r="G110" s="6" t="n">
        <v>0</v>
      </c>
      <c r="H110" s="8" t="inlineStr">
        <is>
          <t>USD m</t>
        </is>
      </c>
      <c r="I110" s="8" t="inlineStr">
        <is>
          <t>S-1 p.157 (PDF p.125)</t>
        </is>
      </c>
    </row>
    <row r="111">
      <c r="A111" s="5" t="inlineStr">
        <is>
          <t>Sales, marketing, and partnerships</t>
        </is>
      </c>
      <c r="B111" s="6" t="n">
        <v>24</v>
      </c>
      <c r="C111" s="6" t="n">
        <v>96</v>
      </c>
      <c r="D111" s="6" t="n">
        <v>202</v>
      </c>
      <c r="E111" s="6" t="n">
        <v>246</v>
      </c>
      <c r="F111" s="6" t="n">
        <v>1033</v>
      </c>
      <c r="G111" s="6" t="n">
        <v>2135</v>
      </c>
      <c r="H111" s="8" t="inlineStr">
        <is>
          <t>USD m</t>
        </is>
      </c>
      <c r="I111" s="8" t="inlineStr">
        <is>
          <t>S-1 p.157 (PDF p.125)</t>
        </is>
      </c>
    </row>
    <row r="112">
      <c r="A112" s="5" t="inlineStr">
        <is>
          <t>Other operating and administrative</t>
        </is>
      </c>
      <c r="B112" s="6" t="n">
        <v>125</v>
      </c>
      <c r="C112" s="6" t="n">
        <v>181</v>
      </c>
      <c r="D112" s="6" t="n">
        <v>233</v>
      </c>
      <c r="E112" s="6" t="n">
        <v>873</v>
      </c>
      <c r="F112" s="6" t="n">
        <v>683</v>
      </c>
      <c r="G112" s="6" t="n">
        <v>1031</v>
      </c>
      <c r="H112" s="8" t="inlineStr">
        <is>
          <t>USD m</t>
        </is>
      </c>
      <c r="I112" s="8" t="inlineStr">
        <is>
          <t>S-1 p.157 (PDF p.125)</t>
        </is>
      </c>
    </row>
    <row r="113">
      <c r="A113" s="9" t="inlineStr">
        <is>
          <t>Total operating expenses</t>
        </is>
      </c>
      <c r="B113" s="10">
        <f>B108+B109+B110+B111+B112</f>
        <v>1311.0</v>
      </c>
      <c r="C113" s="10">
        <f>C108+C109+C110+C111+C112</f>
        <v>1987.0</v>
      </c>
      <c r="D113" s="10">
        <f>D108+D109+D110+D111+D112</f>
        <v>4471.0</v>
      </c>
      <c r="E113" s="10">
        <f>E108+E109+E110+E111+E112</f>
        <v>4876.0</v>
      </c>
      <c r="F113" s="10">
        <f>F108+F109+F110+F111+F112</f>
        <v>6398.0</v>
      </c>
      <c r="G113" s="10">
        <f>G108+G109+G110+G111+G112</f>
        <v>10581.0</v>
      </c>
      <c r="H113" s="8" t="inlineStr">
        <is>
          <t>USD m</t>
        </is>
      </c>
      <c r="I113" s="8" t="inlineStr">
        <is>
          <t>Formula</t>
        </is>
      </c>
    </row>
    <row r="114">
      <c r="A114" s="9" t="inlineStr">
        <is>
          <t>Operating income (loss)</t>
        </is>
      </c>
      <c r="B114" s="10">
        <f>B107-B113</f>
        <v>-935.0</v>
      </c>
      <c r="C114" s="10">
        <f>C107-C113</f>
        <v>-1200.0</v>
      </c>
      <c r="D114" s="10">
        <f>D107-D113</f>
        <v>-3089.0</v>
      </c>
      <c r="E114" s="10">
        <f>E107-E113</f>
        <v>-2836.0</v>
      </c>
      <c r="F114" s="10">
        <f>F107-F113</f>
        <v>-1667.0</v>
      </c>
      <c r="G114" s="10">
        <f>G107-G113</f>
        <v>974.0</v>
      </c>
      <c r="H114" s="8" t="inlineStr">
        <is>
          <t>USD m</t>
        </is>
      </c>
      <c r="I114" s="8" t="inlineStr">
        <is>
          <t>Formula</t>
        </is>
      </c>
    </row>
    <row r="115">
      <c r="A115" s="5" t="inlineStr">
        <is>
          <t>Stock-based compensation</t>
        </is>
      </c>
      <c r="B115" s="6" t="n">
        <v>105</v>
      </c>
      <c r="C115" s="6" t="n">
        <v>181</v>
      </c>
      <c r="D115" s="6" t="n">
        <v>305</v>
      </c>
      <c r="E115" s="6" t="n">
        <v>574</v>
      </c>
      <c r="F115" s="6" t="n">
        <v>924</v>
      </c>
      <c r="G115" s="6" t="n">
        <v>1261</v>
      </c>
      <c r="H115" s="8" t="inlineStr">
        <is>
          <t>USD m</t>
        </is>
      </c>
      <c r="I115" s="8" t="inlineStr">
        <is>
          <t>S-1 p.160 (PDF p.128)</t>
        </is>
      </c>
    </row>
    <row r="116">
      <c r="A116" s="5" t="inlineStr">
        <is>
          <t>Non-cash charitable contributions</t>
        </is>
      </c>
      <c r="B116" s="6" t="n">
        <v>0</v>
      </c>
      <c r="C116" s="6" t="n">
        <v>0</v>
      </c>
      <c r="D116" s="6" t="n">
        <v>0</v>
      </c>
      <c r="E116" s="6" t="n">
        <v>541</v>
      </c>
      <c r="F116" s="6" t="n">
        <v>126</v>
      </c>
      <c r="G116" s="6" t="n">
        <v>0</v>
      </c>
      <c r="H116" s="8" t="inlineStr">
        <is>
          <t>USD m</t>
        </is>
      </c>
      <c r="I116" s="8" t="inlineStr">
        <is>
          <t>S-1 p.160 (PDF p.128)</t>
        </is>
      </c>
    </row>
    <row r="117">
      <c r="A117" s="9" t="inlineStr">
        <is>
          <t>Adjusted Operating Income (company definition)</t>
        </is>
      </c>
      <c r="B117" s="10">
        <f>B114+B115+B116+B110</f>
        <v>-830.0</v>
      </c>
      <c r="C117" s="10">
        <f>C114+C115+C116+C110</f>
        <v>-1019.0</v>
      </c>
      <c r="D117" s="10">
        <f>D114+D115+D116+D110</f>
        <v>-1284.0</v>
      </c>
      <c r="E117" s="10">
        <f>E114+E115+E116+E110</f>
        <v>-1721.0</v>
      </c>
      <c r="F117" s="10">
        <f>F114+F115+F116+F110</f>
        <v>-617.0</v>
      </c>
      <c r="G117" s="10">
        <f>G114+G115+G116+G110</f>
        <v>2235.0</v>
      </c>
      <c r="H117" s="8" t="inlineStr">
        <is>
          <t>USD m</t>
        </is>
      </c>
      <c r="I117" s="8" t="inlineStr">
        <is>
          <t>Formula</t>
        </is>
      </c>
    </row>
    <row r="118">
      <c r="A118" s="5" t="inlineStr">
        <is>
          <t>Net loss</t>
        </is>
      </c>
      <c r="B118" s="6" t="n">
        <v>-6592</v>
      </c>
      <c r="C118" s="6" t="n">
        <v>-6377</v>
      </c>
      <c r="D118" s="6" t="n">
        <v>-12138</v>
      </c>
      <c r="E118" s="6" t="n">
        <v>-16858</v>
      </c>
      <c r="F118" s="6" t="n">
        <v>-14439</v>
      </c>
      <c r="G118" s="6" t="n">
        <v>-66309</v>
      </c>
      <c r="H118" s="8" t="inlineStr">
        <is>
          <t>USD m</t>
        </is>
      </c>
      <c r="I118" s="8" t="inlineStr">
        <is>
          <t>S-1 p.157 (PDF p.126)</t>
        </is>
      </c>
    </row>
    <row r="120">
      <c r="A120" s="3" t="inlineStr">
        <is>
          <t>Operating metrics and concentration</t>
        </is>
      </c>
      <c r="B120" s="4" t="inlineStr">
        <is>
          <t>FY2023</t>
        </is>
      </c>
      <c r="C120" s="4" t="inlineStr">
        <is>
          <t>FY2024</t>
        </is>
      </c>
      <c r="D120" s="4" t="inlineStr">
        <is>
          <t>FY2025</t>
        </is>
      </c>
      <c r="E120" s="4" t="inlineStr">
        <is>
          <t>6M2025</t>
        </is>
      </c>
      <c r="F120" s="4" t="inlineStr">
        <is>
          <t>6M2026</t>
        </is>
      </c>
      <c r="G120" s="4" t="inlineStr">
        <is>
          <t>Latest</t>
        </is>
      </c>
      <c r="H120" s="4" t="inlineStr">
        <is>
          <t>Unit</t>
        </is>
      </c>
      <c r="I120" s="4" t="inlineStr">
        <is>
          <t>Source</t>
        </is>
      </c>
    </row>
    <row r="121">
      <c r="A121" s="5" t="inlineStr">
        <is>
          <t>Customers with &gt;=$100k TTM revenue (approx.; Latest = Sep-2026, "more than")</t>
        </is>
      </c>
      <c r="B121" s="6" t="n">
        <v>20</v>
      </c>
      <c r="C121" s="6" t="n">
        <v>200</v>
      </c>
      <c r="D121" s="6" t="n">
        <v>1500</v>
      </c>
      <c r="G121" s="6" t="n">
        <v>11900</v>
      </c>
      <c r="H121" s="8" t="inlineStr">
        <is>
          <t>customers</t>
        </is>
      </c>
      <c r="I121" s="8" t="inlineStr">
        <is>
          <t>S-1 p.142 (PDF p.114); Sep-26 S-1 p.134 (PDF p.108)</t>
        </is>
      </c>
    </row>
    <row r="122">
      <c r="A122" s="5" t="inlineStr">
        <is>
          <t>Share of revenue from customers with &gt;=$100k TTM revenue</t>
        </is>
      </c>
      <c r="B122" s="12" t="n">
        <v>0.9</v>
      </c>
      <c r="C122" s="12" t="n">
        <v>0.57</v>
      </c>
      <c r="D122" s="12" t="n">
        <v>0.76</v>
      </c>
      <c r="G122" s="13" t="inlineStr">
        <is>
          <t>N/A - not found</t>
        </is>
      </c>
      <c r="H122" s="8" t="inlineStr">
        <is>
          <t>% revenue</t>
        </is>
      </c>
      <c r="I122" s="8" t="inlineStr">
        <is>
          <t>S-1 p.142 (PDF p.114)</t>
        </is>
      </c>
    </row>
    <row r="123">
      <c r="A123" s="5" t="inlineStr">
        <is>
          <t>Customers with &gt;=$1m TTM revenue (Sep-2026, "more than")</t>
        </is>
      </c>
      <c r="G123" s="6" t="n">
        <v>1900</v>
      </c>
      <c r="H123" s="8" t="inlineStr">
        <is>
          <t>customers</t>
        </is>
      </c>
      <c r="I123" s="8" t="inlineStr">
        <is>
          <t>S-1 p.134 (PDF p.108)</t>
        </is>
      </c>
    </row>
    <row r="124">
      <c r="A124" s="5" t="inlineStr">
        <is>
          <t>Customers with &gt;=$10m TTM revenue (Sep-2026, approx.)</t>
        </is>
      </c>
      <c r="G124" s="6" t="n">
        <v>250</v>
      </c>
      <c r="H124" s="8" t="inlineStr">
        <is>
          <t>customers</t>
        </is>
      </c>
      <c r="I124" s="8" t="inlineStr">
        <is>
          <t>S-1 p.134 (PDF p.108)</t>
        </is>
      </c>
    </row>
    <row r="125">
      <c r="A125" s="5" t="inlineStr">
        <is>
          <t>Net Revenue Retention (Sep-2026, approx.)</t>
        </is>
      </c>
      <c r="G125" s="12" t="n">
        <v>9</v>
      </c>
      <c r="H125" s="8" t="inlineStr">
        <is>
          <t>%</t>
        </is>
      </c>
      <c r="I125" s="8" t="inlineStr">
        <is>
          <t>S-1 p.135 (PDF p.109)</t>
        </is>
      </c>
    </row>
    <row r="126">
      <c r="A126" s="5" t="inlineStr">
        <is>
          <t>Employees (Sep-2026, approx.)</t>
        </is>
      </c>
      <c r="G126" s="6" t="n">
        <v>5300</v>
      </c>
      <c r="H126" s="8" t="inlineStr">
        <is>
          <t>employees</t>
        </is>
      </c>
      <c r="I126" s="8" t="inlineStr">
        <is>
          <t>S-1 p.229 (PDF p.179)</t>
        </is>
      </c>
    </row>
    <row r="127">
      <c r="A127" s="5" t="inlineStr">
        <is>
          <t>TTM revenue per employee (Sep-2026, "over")</t>
        </is>
      </c>
      <c r="G127" s="14" t="n">
        <v>6.6</v>
      </c>
      <c r="H127" s="8" t="inlineStr">
        <is>
          <t>USD m</t>
        </is>
      </c>
      <c r="I127" s="8" t="inlineStr">
        <is>
          <t>S-1 p.136 (PDF p.110)</t>
        </is>
      </c>
    </row>
    <row r="128">
      <c r="A128" s="5" t="inlineStr">
        <is>
          <t>Customer A share of revenue (shown only when &gt;=10%)</t>
        </is>
      </c>
      <c r="D128" s="12" t="n">
        <v>0.12</v>
      </c>
      <c r="H128" s="8" t="inlineStr">
        <is>
          <t>% revenue</t>
        </is>
      </c>
      <c r="I128" s="8" t="inlineStr">
        <is>
          <t>S-1 p.F-15 (PDF p.269)</t>
        </is>
      </c>
    </row>
    <row r="129">
      <c r="A129" s="5" t="inlineStr">
        <is>
          <t>Customer B share of revenue (shown only when &gt;=10%)</t>
        </is>
      </c>
      <c r="D129" s="12" t="n">
        <v>0.12</v>
      </c>
      <c r="E129" s="12" t="n">
        <v>0.18</v>
      </c>
      <c r="H129" s="8" t="inlineStr">
        <is>
          <t>% revenue</t>
        </is>
      </c>
      <c r="I129" s="8" t="inlineStr">
        <is>
          <t>S-1 p.F-15 (PDF p.269)</t>
        </is>
      </c>
    </row>
    <row r="130">
      <c r="A130" s="5" t="inlineStr">
        <is>
          <t>Customer C share of revenue (shown only when &gt;=10%)</t>
        </is>
      </c>
      <c r="B130" s="12" t="n">
        <v>0.43</v>
      </c>
      <c r="F130" s="12" t="n">
        <v>0.11</v>
      </c>
      <c r="H130" s="8" t="inlineStr">
        <is>
          <t>% revenue</t>
        </is>
      </c>
      <c r="I130" s="8" t="inlineStr">
        <is>
          <t>S-1 p.F-15 (PDF p.269)</t>
        </is>
      </c>
    </row>
    <row r="131">
      <c r="A131" s="5" t="inlineStr">
        <is>
          <t>Customer D share of revenue (shown only when &gt;=10%)</t>
        </is>
      </c>
      <c r="B131" s="12" t="n">
        <v>0.11</v>
      </c>
      <c r="H131" s="8" t="inlineStr">
        <is>
          <t>% revenue</t>
        </is>
      </c>
      <c r="I131" s="8" t="inlineStr">
        <is>
          <t>S-1 p.F-15 (PDF p.269)</t>
        </is>
      </c>
    </row>
    <row r="132">
      <c r="A132" s="5" t="inlineStr">
        <is>
          <t>Share of revenue sold through cloud marketplaces (approx.)</t>
        </is>
      </c>
      <c r="B132" s="12" t="n">
        <v>0.11</v>
      </c>
      <c r="C132" s="12" t="n">
        <v>0.32</v>
      </c>
      <c r="D132" s="12" t="n">
        <v>0.47</v>
      </c>
      <c r="E132" s="12" t="n">
        <v>0.44</v>
      </c>
      <c r="F132" s="12" t="n">
        <v>0.48</v>
      </c>
      <c r="H132" s="8" t="inlineStr">
        <is>
          <t>% revenue</t>
        </is>
      </c>
      <c r="I132" s="8" t="inlineStr">
        <is>
          <t>S-1 p.F-16 (PDF p.269)</t>
        </is>
      </c>
    </row>
    <row r="133">
      <c r="A133" s="5" t="inlineStr">
        <is>
          <t>Top five customers, share of revenue (9M-2026, approx.)</t>
        </is>
      </c>
      <c r="G133" s="12" t="n">
        <v>0.25</v>
      </c>
      <c r="H133" s="8" t="inlineStr">
        <is>
          <t>% revenue</t>
        </is>
      </c>
      <c r="I133" s="8" t="inlineStr">
        <is>
          <t>S-1 p.56 (PDF p.50)</t>
        </is>
      </c>
    </row>
    <row r="135">
      <c r="A135" s="3" t="inlineStr">
        <is>
          <t>Compute commitments and debt (S-1 amounts)</t>
        </is>
      </c>
      <c r="B135" s="4" t="inlineStr">
        <is>
          <t>Value</t>
        </is>
      </c>
      <c r="C135" s="4" t="inlineStr"/>
      <c r="D135" s="4" t="inlineStr"/>
      <c r="E135" s="4" t="inlineStr"/>
      <c r="F135" s="4" t="inlineStr"/>
      <c r="G135" s="4" t="inlineStr"/>
      <c r="H135" s="4" t="inlineStr">
        <is>
          <t>Unit</t>
        </is>
      </c>
      <c r="I135" s="4" t="inlineStr">
        <is>
          <t>Source</t>
        </is>
      </c>
    </row>
    <row r="136">
      <c r="A136" s="5" t="inlineStr">
        <is>
          <t>Purchase commitments at Dec-2025, due 2026</t>
        </is>
      </c>
      <c r="B136" s="6" t="n">
        <v>7059</v>
      </c>
      <c r="H136" s="8" t="inlineStr">
        <is>
          <t>USD m</t>
        </is>
      </c>
      <c r="I136" s="8" t="inlineStr">
        <is>
          <t>S-1 p.F-58 (PDF p.301)</t>
        </is>
      </c>
    </row>
    <row r="137">
      <c r="A137" s="5" t="inlineStr">
        <is>
          <t xml:space="preserve">  due 2027</t>
        </is>
      </c>
      <c r="B137" s="6" t="n">
        <v>11128</v>
      </c>
      <c r="H137" s="8" t="inlineStr">
        <is>
          <t>USD m</t>
        </is>
      </c>
      <c r="I137" s="8" t="inlineStr">
        <is>
          <t>S-1 p.F-58 (PDF p.301)</t>
        </is>
      </c>
    </row>
    <row r="138">
      <c r="A138" s="5" t="inlineStr">
        <is>
          <t xml:space="preserve">  due 2028</t>
        </is>
      </c>
      <c r="B138" s="6" t="n">
        <v>10832</v>
      </c>
      <c r="H138" s="8" t="inlineStr">
        <is>
          <t>USD m</t>
        </is>
      </c>
      <c r="I138" s="8" t="inlineStr">
        <is>
          <t>S-1 p.F-58 (PDF p.301)</t>
        </is>
      </c>
    </row>
    <row r="139">
      <c r="A139" s="5" t="inlineStr">
        <is>
          <t xml:space="preserve">  due 2029</t>
        </is>
      </c>
      <c r="B139" s="6" t="n">
        <v>8304</v>
      </c>
      <c r="H139" s="8" t="inlineStr">
        <is>
          <t>USD m</t>
        </is>
      </c>
      <c r="I139" s="8" t="inlineStr">
        <is>
          <t>S-1 p.F-58 (PDF p.301)</t>
        </is>
      </c>
    </row>
    <row r="140">
      <c r="A140" s="5" t="inlineStr">
        <is>
          <t xml:space="preserve">  due 2030</t>
        </is>
      </c>
      <c r="B140" s="6" t="n">
        <v>5428</v>
      </c>
      <c r="H140" s="8" t="inlineStr">
        <is>
          <t>USD m</t>
        </is>
      </c>
      <c r="I140" s="8" t="inlineStr">
        <is>
          <t>S-1 p.F-58 (PDF p.301)</t>
        </is>
      </c>
    </row>
    <row r="141">
      <c r="A141" s="5" t="inlineStr">
        <is>
          <t xml:space="preserve">  due thereafter</t>
        </is>
      </c>
      <c r="B141" s="6" t="n">
        <v>11808</v>
      </c>
      <c r="H141" s="8" t="inlineStr">
        <is>
          <t>USD m</t>
        </is>
      </c>
      <c r="I141" s="8" t="inlineStr">
        <is>
          <t>S-1 p.F-58 (PDF p.301)</t>
        </is>
      </c>
    </row>
    <row r="142">
      <c r="A142" s="9" t="inlineStr">
        <is>
          <t>Total purchase commitments at Dec-2025</t>
        </is>
      </c>
      <c r="B142" s="10">
        <f>SUM(B136:B141)</f>
        <v>54559.0</v>
      </c>
      <c r="H142" s="8" t="inlineStr">
        <is>
          <t>USD m</t>
        </is>
      </c>
      <c r="I142" s="8" t="inlineStr">
        <is>
          <t>Formula; S-1 p.F-58</t>
        </is>
      </c>
    </row>
    <row r="143">
      <c r="A143" s="5" t="inlineStr">
        <is>
          <t>Fixed or minimum purchase commitments at Jun-2026</t>
        </is>
      </c>
      <c r="B143" s="6" t="n">
        <v>265600</v>
      </c>
      <c r="H143" s="8" t="inlineStr">
        <is>
          <t>USD m</t>
        </is>
      </c>
      <c r="I143" s="8" t="inlineStr">
        <is>
          <t>S-1 p.F-58 (PDF p.301)</t>
        </is>
      </c>
    </row>
    <row r="144">
      <c r="A144" s="5" t="inlineStr">
        <is>
          <t>Signed leases not yet commenced (undiscounted), Dec-2025</t>
        </is>
      </c>
      <c r="B144" s="6" t="n">
        <v>50200</v>
      </c>
      <c r="H144" s="8" t="inlineStr">
        <is>
          <t>USD m</t>
        </is>
      </c>
      <c r="I144" s="8" t="inlineStr">
        <is>
          <t>S-1 p.F-35 (PDF p.283)</t>
        </is>
      </c>
    </row>
    <row r="145">
      <c r="A145" s="5" t="inlineStr">
        <is>
          <t>Signed leases not yet commenced (undiscounted), Jun-2026</t>
        </is>
      </c>
      <c r="B145" s="6" t="n">
        <v>321400</v>
      </c>
      <c r="H145" s="8" t="inlineStr">
        <is>
          <t>USD m</t>
        </is>
      </c>
      <c r="I145" s="8" t="inlineStr">
        <is>
          <t>S-1 p.F-35 (PDF p.283)</t>
        </is>
      </c>
    </row>
    <row r="146">
      <c r="A146" s="5" t="inlineStr">
        <is>
          <t>New compute agreements after Jun-2026 (minimum payments)</t>
        </is>
      </c>
      <c r="B146" s="6" t="n">
        <v>245000</v>
      </c>
      <c r="H146" s="8" t="inlineStr">
        <is>
          <t>USD m</t>
        </is>
      </c>
      <c r="I146" s="8" t="inlineStr">
        <is>
          <t>S-1 p.F-65 (PDF p.306)</t>
        </is>
      </c>
    </row>
    <row r="147">
      <c r="A147" s="5" t="inlineStr">
        <is>
          <t>Microsoft: minimum spend Nov-2026 to May-2033</t>
        </is>
      </c>
      <c r="B147" s="6" t="n">
        <v>44900</v>
      </c>
      <c r="H147" s="8" t="inlineStr">
        <is>
          <t>USD m</t>
        </is>
      </c>
      <c r="I147" s="8" t="inlineStr">
        <is>
          <t>S-1 p.170 (PDF p.135)</t>
        </is>
      </c>
    </row>
    <row r="148">
      <c r="A148" s="5" t="inlineStr">
        <is>
          <t>Google: minimum spend Apr-2026 to Jul-2033</t>
        </is>
      </c>
      <c r="B148" s="6" t="n">
        <v>114500</v>
      </c>
      <c r="H148" s="8" t="inlineStr">
        <is>
          <t>USD m</t>
        </is>
      </c>
      <c r="I148" s="8" t="inlineStr">
        <is>
          <t>S-1 p.170 (PDF p.135)</t>
        </is>
      </c>
    </row>
    <row r="149">
      <c r="A149" s="5" t="inlineStr">
        <is>
          <t>Amazon: minimum spend May-2026 to Apr-2036</t>
        </is>
      </c>
      <c r="B149" s="6" t="n">
        <v>110000</v>
      </c>
      <c r="H149" s="8" t="inlineStr">
        <is>
          <t>USD m</t>
        </is>
      </c>
      <c r="I149" s="8" t="inlineStr">
        <is>
          <t>S-1 p.171 (PDF p.136)</t>
        </is>
      </c>
    </row>
    <row r="150">
      <c r="A150" s="5" t="inlineStr">
        <is>
          <t>SpaceXAI: up to, terms into 2029 (cancellable after Q1-2027)</t>
        </is>
      </c>
      <c r="B150" s="6" t="n">
        <v>120500</v>
      </c>
      <c r="H150" s="8" t="inlineStr">
        <is>
          <t>USD m</t>
        </is>
      </c>
      <c r="I150" s="8" t="inlineStr">
        <is>
          <t>S-1 p.171 (PDF p.136)</t>
        </is>
      </c>
    </row>
    <row r="151">
      <c r="A151" s="5" t="inlineStr">
        <is>
          <t>Broadcom equipment leases: rent excl. interest</t>
        </is>
      </c>
      <c r="B151" s="6" t="n">
        <v>161200</v>
      </c>
      <c r="H151" s="8" t="inlineStr">
        <is>
          <t>USD m</t>
        </is>
      </c>
      <c r="I151" s="8" t="inlineStr">
        <is>
          <t>S-1 p.171 (PDF p.136)</t>
        </is>
      </c>
    </row>
    <row r="152">
      <c r="A152" s="5" t="inlineStr">
        <is>
          <t>Nscale: up to, terms into 2033</t>
        </is>
      </c>
      <c r="B152" s="6" t="n">
        <v>44600</v>
      </c>
      <c r="H152" s="8" t="inlineStr">
        <is>
          <t>USD m</t>
        </is>
      </c>
      <c r="I152" s="8" t="inlineStr">
        <is>
          <t>S-1 p.171 (PDF p.136)</t>
        </is>
      </c>
    </row>
    <row r="153">
      <c r="A153" s="5" t="inlineStr">
        <is>
          <t>Lambda: terms into 2034</t>
        </is>
      </c>
      <c r="B153" s="6" t="n">
        <v>41300</v>
      </c>
      <c r="H153" s="8" t="inlineStr">
        <is>
          <t>USD m</t>
        </is>
      </c>
      <c r="I153" s="8" t="inlineStr">
        <is>
          <t>S-1 p.171 (PDF p.136)</t>
        </is>
      </c>
    </row>
    <row r="154">
      <c r="A154" s="5" t="inlineStr">
        <is>
          <t>AMD: expected expenditure (over)</t>
        </is>
      </c>
      <c r="B154" s="6" t="n">
        <v>20000</v>
      </c>
      <c r="H154" s="8" t="inlineStr">
        <is>
          <t>USD m</t>
        </is>
      </c>
      <c r="I154" s="8" t="inlineStr">
        <is>
          <t>S-1 p.171 (PDF p.136)</t>
        </is>
      </c>
    </row>
    <row r="155">
      <c r="A155" s="5" t="inlineStr">
        <is>
          <t>Convertible notes (Amazon) principal outstanding, Jun-2026</t>
        </is>
      </c>
      <c r="B155" s="6" t="n">
        <v>6203</v>
      </c>
      <c r="H155" s="8" t="inlineStr">
        <is>
          <t>USD m</t>
        </is>
      </c>
      <c r="I155" s="8" t="inlineStr">
        <is>
          <t>S-1 p.164 (PDF p.131)</t>
        </is>
      </c>
    </row>
    <row r="156">
      <c r="A156" s="5" t="inlineStr">
        <is>
          <t>Revolving credit facility (Sep-2026), undrawn</t>
        </is>
      </c>
      <c r="B156" s="6" t="n">
        <v>15000</v>
      </c>
      <c r="H156" s="8" t="inlineStr">
        <is>
          <t>USD m</t>
        </is>
      </c>
      <c r="I156" s="8" t="inlineStr">
        <is>
          <t>S-1 p.162 (PDF p.129)</t>
        </is>
      </c>
    </row>
    <row r="157">
      <c r="A157" s="5" t="inlineStr">
        <is>
          <t>Undrawn note purchase capacity (Google, Amazon, Broadcom)</t>
        </is>
      </c>
      <c r="B157" s="6" t="n">
        <v>77000</v>
      </c>
      <c r="H157" s="8" t="inlineStr">
        <is>
          <t>USD m</t>
        </is>
      </c>
      <c r="I157" s="8" t="inlineStr">
        <is>
          <t>S-1 p.165 (PDF p.131)</t>
        </is>
      </c>
    </row>
    <row r="158">
      <c r="A158" s="5" t="inlineStr">
        <is>
          <t>Federal NOL carryforwards at Dec-2025</t>
        </is>
      </c>
      <c r="B158" s="6" t="n">
        <v>8200</v>
      </c>
      <c r="H158" s="8" t="inlineStr">
        <is>
          <t>USD m</t>
        </is>
      </c>
      <c r="I158" s="8" t="inlineStr">
        <is>
          <t>S-1 p.F-55 (PDF p.298)</t>
        </is>
      </c>
    </row>
    <row r="160">
      <c r="A160" s="3" t="inlineStr">
        <is>
          <t>Share capital, private-round prices and voting</t>
        </is>
      </c>
      <c r="B160" s="4" t="inlineStr">
        <is>
          <t>Value</t>
        </is>
      </c>
      <c r="C160" s="4" t="inlineStr"/>
      <c r="D160" s="4" t="inlineStr"/>
      <c r="E160" s="4" t="inlineStr"/>
      <c r="F160" s="4" t="inlineStr"/>
      <c r="G160" s="4" t="inlineStr"/>
      <c r="H160" s="4" t="inlineStr">
        <is>
          <t>Unit</t>
        </is>
      </c>
      <c r="I160" s="4" t="inlineStr">
        <is>
          <t>Source</t>
        </is>
      </c>
    </row>
    <row r="161">
      <c r="A161" s="5" t="inlineStr">
        <is>
          <t>Class A common shares outstanding, Jun-2026</t>
        </is>
      </c>
      <c r="B161" s="6" t="n">
        <v>2157398000</v>
      </c>
      <c r="H161" s="8" t="inlineStr">
        <is>
          <t>shares</t>
        </is>
      </c>
      <c r="I161" s="8" t="inlineStr">
        <is>
          <t>S-1 p.F-6 (PDF p.262)</t>
        </is>
      </c>
    </row>
    <row r="162">
      <c r="A162" s="5" t="inlineStr">
        <is>
          <t>Class N common shares outstanding, Jun-2026</t>
        </is>
      </c>
      <c r="B162" s="6" t="n">
        <v>30643000</v>
      </c>
      <c r="H162" s="8" t="inlineStr">
        <is>
          <t>shares</t>
        </is>
      </c>
      <c r="I162" s="8" t="inlineStr">
        <is>
          <t>S-1 p.F-6 (PDF p.262)</t>
        </is>
      </c>
    </row>
    <row r="163">
      <c r="A163" s="5" t="inlineStr">
        <is>
          <t>Preferred stock, as-converted common shares, Jun-2026</t>
        </is>
      </c>
      <c r="B163" s="6" t="n">
        <v>8558869000</v>
      </c>
      <c r="H163" s="8" t="inlineStr">
        <is>
          <t>shares</t>
        </is>
      </c>
      <c r="I163" s="8" t="inlineStr">
        <is>
          <t>S-1 p.F-57 (PDF p.300)</t>
        </is>
      </c>
    </row>
    <row r="164">
      <c r="A164" s="5" t="inlineStr">
        <is>
          <t>Class N shares issuable on conversion of Amazon notes</t>
        </is>
      </c>
      <c r="B164" s="6" t="n">
        <v>1840444962</v>
      </c>
      <c r="H164" s="8" t="inlineStr">
        <is>
          <t>shares</t>
        </is>
      </c>
      <c r="I164" s="8" t="inlineStr">
        <is>
          <t>S-1 p.164 (PDF p.131)</t>
        </is>
      </c>
    </row>
    <row r="165">
      <c r="A165" s="5" t="inlineStr">
        <is>
          <t>Stock options outstanding, Jun-2026</t>
        </is>
      </c>
      <c r="B165" s="6" t="n">
        <v>1797066000</v>
      </c>
      <c r="H165" s="8" t="inlineStr">
        <is>
          <t>shares</t>
        </is>
      </c>
      <c r="I165" s="8" t="inlineStr">
        <is>
          <t>S-1 p.F-51 (PDF p.295)</t>
        </is>
      </c>
    </row>
    <row r="166">
      <c r="A166" s="5" t="inlineStr">
        <is>
          <t>Stock options weighted-average exercise price</t>
        </is>
      </c>
      <c r="B166" s="15" t="n">
        <v>2.89</v>
      </c>
      <c r="H166" s="8" t="inlineStr">
        <is>
          <t>USD per share</t>
        </is>
      </c>
      <c r="I166" s="8" t="inlineStr">
        <is>
          <t>S-1 p.F-51 (PDF p.295)</t>
        </is>
      </c>
    </row>
    <row r="167">
      <c r="A167" s="5" t="inlineStr">
        <is>
          <t>Performance-vesting RSUs outstanding, Jun-2026 (vest at IPO)</t>
        </is>
      </c>
      <c r="B167" s="6" t="n">
        <v>1049631000</v>
      </c>
      <c r="H167" s="8" t="inlineStr">
        <is>
          <t>shares</t>
        </is>
      </c>
      <c r="I167" s="8" t="inlineStr">
        <is>
          <t>S-1 p.F-52 (PDF p.296)</t>
        </is>
      </c>
    </row>
    <row r="168">
      <c r="A168" s="5" t="inlineStr">
        <is>
          <t>Class N shares issued to Anthropic Public Benefit Fund (Oct-2026)</t>
        </is>
      </c>
      <c r="B168" s="6" t="n">
        <v>846840960</v>
      </c>
      <c r="H168" s="8" t="inlineStr">
        <is>
          <t>shares</t>
        </is>
      </c>
      <c r="I168" s="8" t="inlineStr">
        <is>
          <t>S-1 p.143 (PDF p.115)</t>
        </is>
      </c>
    </row>
    <row r="169">
      <c r="A169" s="5" t="inlineStr">
        <is>
          <t>Series G preferred price per share (Q1/Q2-2026)</t>
        </is>
      </c>
      <c r="B169" s="15" t="n">
        <v>259.1364</v>
      </c>
      <c r="H169" s="8" t="inlineStr">
        <is>
          <t>USD per preferred share</t>
        </is>
      </c>
      <c r="I169" s="8" t="inlineStr">
        <is>
          <t>S-1 p.F-62 (PDF p.304)</t>
        </is>
      </c>
    </row>
    <row r="170">
      <c r="A170" s="5" t="inlineStr">
        <is>
          <t>Series H preferred price per share (May-Jun 2026)</t>
        </is>
      </c>
      <c r="B170" s="15" t="n">
        <v>589.0095</v>
      </c>
      <c r="H170" s="8" t="inlineStr">
        <is>
          <t>USD per preferred share</t>
        </is>
      </c>
      <c r="I170" s="8" t="inlineStr">
        <is>
          <t>S-1 p.F-46 (PDF p.291)</t>
        </is>
      </c>
    </row>
    <row r="171">
      <c r="A171" s="5" t="inlineStr">
        <is>
          <t>Tender offer price per Class A share (Apr-2026)</t>
        </is>
      </c>
      <c r="B171" s="15" t="n">
        <v>25.9136</v>
      </c>
      <c r="H171" s="8" t="inlineStr">
        <is>
          <t>USD per Class A share</t>
        </is>
      </c>
      <c r="I171" s="8" t="inlineStr">
        <is>
          <t>S-1 p.F-62 (PDF p.304)</t>
        </is>
      </c>
    </row>
    <row r="172">
      <c r="A172" s="5" t="inlineStr">
        <is>
          <t>RSU expense to be recognized at IPO (cumulative to Jun-2026)</t>
        </is>
      </c>
      <c r="B172" s="6" t="n">
        <v>2900</v>
      </c>
      <c r="H172" s="8" t="inlineStr">
        <is>
          <t>USD m</t>
        </is>
      </c>
      <c r="I172" s="8" t="inlineStr">
        <is>
          <t>S-1 p.F-52 (PDF p.296)</t>
        </is>
      </c>
    </row>
    <row r="173">
      <c r="A173" s="5" t="inlineStr">
        <is>
          <t>RSU unrecognized compensation at Jun-2026</t>
        </is>
      </c>
      <c r="B173" s="6" t="n">
        <v>23700</v>
      </c>
      <c r="H173" s="8" t="inlineStr">
        <is>
          <t>USD m</t>
        </is>
      </c>
      <c r="I173" s="8" t="inlineStr">
        <is>
          <t>S-1 p.F-52 (PDF p.296)</t>
        </is>
      </c>
    </row>
    <row r="174">
      <c r="A174" s="5" t="inlineStr">
        <is>
          <t>Class F (Founder LLC) share of total voting power after IPO</t>
        </is>
      </c>
      <c r="B174" s="16" t="n">
        <v>0.501</v>
      </c>
      <c r="H174" s="8" t="inlineStr">
        <is>
          <t>%</t>
        </is>
      </c>
      <c r="I174" s="8" t="inlineStr">
        <is>
          <t>S-1 p.i (PDF p.2)</t>
        </is>
      </c>
    </row>
    <row r="175">
      <c r="A175" s="5" t="inlineStr">
        <is>
          <t>Maximum voting power of all Class A holders (1 - Class F)</t>
        </is>
      </c>
      <c r="B175" s="17">
        <f>1-B174</f>
        <v>0.499</v>
      </c>
      <c r="H175" s="8" t="inlineStr">
        <is>
          <t>%</t>
        </is>
      </c>
      <c r="I175" s="8" t="inlineStr">
        <is>
          <t>Formula; S-1 p.289</t>
        </is>
      </c>
    </row>
    <row r="176">
      <c r="A176" s="5" t="inlineStr">
        <is>
          <t>IPO price range</t>
        </is>
      </c>
      <c r="B176" s="18" t="inlineStr">
        <is>
          <t>N/A - not found</t>
        </is>
      </c>
      <c r="H176" s="8" t="inlineStr">
        <is>
          <t>USD/share</t>
        </is>
      </c>
      <c r="I176" s="8" t="inlineStr">
        <is>
          <t>S-1 cover (PDF p.2): left blank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66" customWidth="1" min="8" max="8"/>
  </cols>
  <sheetData>
    <row r="1">
      <c r="A1" s="1" t="inlineStr">
        <is>
          <t>Ratios by period (formulas reference the Data sheet)</t>
        </is>
      </c>
    </row>
    <row r="2">
      <c r="A2" s="2" t="inlineStr">
        <is>
          <t>N/A = not computable from the S-1 (no 6M2024 or Jun-2025 figures).</t>
        </is>
      </c>
    </row>
    <row r="4">
      <c r="A4" s="3" t="inlineStr">
        <is>
          <t>Growth</t>
        </is>
      </c>
      <c r="B4" s="4" t="inlineStr">
        <is>
          <t>FY2023</t>
        </is>
      </c>
      <c r="C4" s="4" t="inlineStr">
        <is>
          <t>FY2024</t>
        </is>
      </c>
      <c r="D4" s="4" t="inlineStr">
        <is>
          <t>FY2025</t>
        </is>
      </c>
      <c r="E4" s="4" t="inlineStr">
        <is>
          <t>6M2025</t>
        </is>
      </c>
      <c r="F4" s="4" t="inlineStr">
        <is>
          <t>6M2026</t>
        </is>
      </c>
      <c r="G4" s="4" t="inlineStr">
        <is>
          <t>LTM Jun-26</t>
        </is>
      </c>
      <c r="H4" s="4" t="inlineStr">
        <is>
          <t>Formula</t>
        </is>
      </c>
    </row>
    <row r="5">
      <c r="A5" s="5" t="inlineStr">
        <is>
          <t>Revenue growth y/y</t>
        </is>
      </c>
      <c r="B5" s="13" t="inlineStr">
        <is>
          <t>N/A</t>
        </is>
      </c>
      <c r="C5" s="19">
        <f>Data!C7/Data!$B$7-1</f>
        <v>8.414634146341463</v>
      </c>
      <c r="D5" s="19">
        <f>Data!D7/Data!$C$7-1</f>
        <v>10.878238341968911</v>
      </c>
      <c r="E5" s="13" t="inlineStr">
        <is>
          <t>N/A</t>
        </is>
      </c>
      <c r="F5" s="19">
        <f>Data!F7/Data!$E$7-1</f>
        <v>13.003439380911436</v>
      </c>
      <c r="G5" s="13" t="inlineStr">
        <is>
          <t>N/A</t>
        </is>
      </c>
      <c r="H5" s="8" t="inlineStr">
        <is>
          <t>Revenue / prior-period revenue - 1 (6M2026 vs 6M2025)</t>
        </is>
      </c>
    </row>
    <row r="6">
      <c r="A6" s="5" t="inlineStr">
        <is>
          <t>Consumption revenue growth y/y</t>
        </is>
      </c>
      <c r="B6" s="13" t="inlineStr">
        <is>
          <t>N/A</t>
        </is>
      </c>
      <c r="C6" s="19">
        <f>Data!C5/Data!$B$5-1</f>
        <v>6.384615384615385</v>
      </c>
      <c r="D6" s="19">
        <f>Data!D5/Data!$C$5-1</f>
        <v>12.180555555555555</v>
      </c>
      <c r="E6" s="13" t="inlineStr">
        <is>
          <t>N/A</t>
        </is>
      </c>
      <c r="F6" s="19">
        <f>Data!F5/Data!$E$5-1</f>
        <v>12.289928789420143</v>
      </c>
      <c r="G6" s="13" t="inlineStr">
        <is>
          <t>N/A</t>
        </is>
      </c>
      <c r="H6" s="8" t="inlineStr">
        <is>
          <t>Consumption revenue / prior period - 1</t>
        </is>
      </c>
    </row>
    <row r="7">
      <c r="A7" s="5" t="inlineStr">
        <is>
          <t>Subscription revenue growth y/y</t>
        </is>
      </c>
      <c r="B7" s="13" t="inlineStr">
        <is>
          <t>N/A</t>
        </is>
      </c>
      <c r="C7" s="19">
        <f>Data!C6/Data!$B$6-1</f>
        <v>48.0</v>
      </c>
      <c r="D7" s="19">
        <f>Data!D6/Data!$C$6-1</f>
        <v>7.051020408163266</v>
      </c>
      <c r="E7" s="13" t="inlineStr">
        <is>
          <t>N/A</t>
        </is>
      </c>
      <c r="F7" s="19">
        <f>Data!F6/Data!$E$6-1</f>
        <v>16.9</v>
      </c>
      <c r="G7" s="13" t="inlineStr">
        <is>
          <t>N/A</t>
        </is>
      </c>
      <c r="H7" s="8" t="inlineStr">
        <is>
          <t>Subscription revenue / prior period - 1</t>
        </is>
      </c>
    </row>
    <row r="8">
      <c r="A8" s="5" t="inlineStr">
        <is>
          <t>Consumption share of revenue</t>
        </is>
      </c>
      <c r="B8" s="19">
        <f>Data!B5/Data!B7</f>
        <v>0.9512195121951219</v>
      </c>
      <c r="C8" s="19">
        <f>Data!C5/Data!C7</f>
        <v>0.7461139896373057</v>
      </c>
      <c r="D8" s="19">
        <f>Data!D5/Data!D7</f>
        <v>0.8279171210468921</v>
      </c>
      <c r="E8" s="19">
        <f>Data!E5/Data!E7</f>
        <v>0.8452278589853827</v>
      </c>
      <c r="F8" s="19">
        <f>Data!F5/Data!F7</f>
        <v>0.8021613655900773</v>
      </c>
      <c r="G8" s="19">
        <f>Data!G5/Data!G7</f>
        <v>0.8056119342399026</v>
      </c>
      <c r="H8" s="8" t="inlineStr">
        <is>
          <t>Consumption revenue / revenue</t>
        </is>
      </c>
    </row>
    <row r="10">
      <c r="A10" s="3" t="inlineStr">
        <is>
          <t>Profitability</t>
        </is>
      </c>
      <c r="B10" s="4" t="inlineStr">
        <is>
          <t>FY2023</t>
        </is>
      </c>
      <c r="C10" s="4" t="inlineStr">
        <is>
          <t>FY2024</t>
        </is>
      </c>
      <c r="D10" s="4" t="inlineStr">
        <is>
          <t>FY2025</t>
        </is>
      </c>
      <c r="E10" s="4" t="inlineStr">
        <is>
          <t>6M2025</t>
        </is>
      </c>
      <c r="F10" s="4" t="inlineStr">
        <is>
          <t>6M2026</t>
        </is>
      </c>
      <c r="G10" s="4" t="inlineStr">
        <is>
          <t>LTM Jun-26</t>
        </is>
      </c>
      <c r="H10" s="4" t="inlineStr">
        <is>
          <t>Formula</t>
        </is>
      </c>
    </row>
    <row r="11">
      <c r="A11" s="5" t="inlineStr">
        <is>
          <t>Gross margin (Note 8)</t>
        </is>
      </c>
      <c r="B11" s="19">
        <f>Data!B33/Data!B7</f>
        <v>0.36585365853658536</v>
      </c>
      <c r="C11" s="19">
        <f>Data!C33/Data!C7</f>
        <v>-0.9481865284974094</v>
      </c>
      <c r="D11" s="19">
        <f>Data!D33/Data!D7</f>
        <v>0.3952017448200654</v>
      </c>
      <c r="E11" s="19">
        <f>Data!E33/Data!E7</f>
        <v>0.12381771281169389</v>
      </c>
      <c r="F11" s="19">
        <f>Data!F33/Data!F7</f>
        <v>0.8538622129436325</v>
      </c>
      <c r="G11" s="19">
        <f>Data!G33/Data!G7</f>
        <v>0.7902374670184696</v>
      </c>
      <c r="H11" s="8" t="inlineStr">
        <is>
          <t>(Revenue - cost of revenue) / revenue; excludes training compute</t>
        </is>
      </c>
    </row>
    <row r="12">
      <c r="A12" s="5" t="inlineStr">
        <is>
          <t>Operating margin (GAAP)</t>
        </is>
      </c>
      <c r="B12" s="19">
        <f>Data!B16/Data!B7</f>
        <v>-13.439024390243903</v>
      </c>
      <c r="C12" s="19">
        <f>Data!C16/Data!C7</f>
        <v>-7.72020725388601</v>
      </c>
      <c r="D12" s="19">
        <f>Data!D16/Data!D7</f>
        <v>-1.757906215921483</v>
      </c>
      <c r="E12" s="19">
        <f>Data!E16/Data!E7</f>
        <v>-1.8357695614789338</v>
      </c>
      <c r="F12" s="19">
        <f>Data!F16/Data!F7</f>
        <v>-0.042551885054648166</v>
      </c>
      <c r="G12" s="19">
        <f>Data!G16/Data!G7</f>
        <v>-0.3358027197077329</v>
      </c>
      <c r="H12" s="8" t="inlineStr">
        <is>
          <t>Operating income / revenue</t>
        </is>
      </c>
    </row>
    <row r="13">
      <c r="A13" s="5" t="inlineStr">
        <is>
          <t>Net margin (GAAP)</t>
        </is>
      </c>
      <c r="B13" s="19">
        <f>Data!B22/Data!B7</f>
        <v>-37.34146341463415</v>
      </c>
      <c r="C13" s="19">
        <f>Data!C22/Data!C7</f>
        <v>-21.525906735751295</v>
      </c>
      <c r="D13" s="19">
        <f>Data!D22/Data!D7</f>
        <v>-9.15267175572519</v>
      </c>
      <c r="E13" s="19">
        <f>Data!E22/Data!E7</f>
        <v>-11.151332760103182</v>
      </c>
      <c r="F13" s="19">
        <f>Data!F22/Data!F7</f>
        <v>-4.958123541692251</v>
      </c>
      <c r="G13" s="19">
        <f>Data!G22/Data!G7</f>
        <v>-5.568500101481632</v>
      </c>
      <c r="H13" s="8" t="inlineStr">
        <is>
          <t>Net income / revenue</t>
        </is>
      </c>
    </row>
    <row r="14">
      <c r="A14" s="5" t="inlineStr">
        <is>
          <t>Adjusted operating margin (non-GAAP)</t>
        </is>
      </c>
      <c r="B14" s="19">
        <f>Data!B40/Data!B7</f>
        <v>-12.731707317073171</v>
      </c>
      <c r="C14" s="19">
        <f>Data!C40/Data!C7</f>
        <v>-7.22279792746114</v>
      </c>
      <c r="D14" s="19">
        <f>Data!D40/Data!D7</f>
        <v>-1.0586695747001091</v>
      </c>
      <c r="E14" s="19">
        <f>Data!E40/Data!E7</f>
        <v>-1.589853826311264</v>
      </c>
      <c r="F14" s="19">
        <f>Data!F40/Data!F7</f>
        <v>0.09934913422571534</v>
      </c>
      <c r="G14" s="19">
        <f>Data!G40/Data!G7</f>
        <v>-0.07037751167038767</v>
      </c>
      <c r="H14" s="8" t="inlineStr">
        <is>
          <t>Adjusted Operating Income / revenue</t>
        </is>
      </c>
    </row>
    <row r="15">
      <c r="A15" s="5" t="inlineStr">
        <is>
          <t>Adjusted EBITDA margin (own calculation)</t>
        </is>
      </c>
      <c r="B15" s="19">
        <f>Data!B42/Data!B7</f>
        <v>-12.658536585365853</v>
      </c>
      <c r="C15" s="19">
        <f>Data!C42/Data!C7</f>
        <v>-7.168393782383419</v>
      </c>
      <c r="D15" s="19">
        <f>Data!D42/Data!D7</f>
        <v>-1.0499454743729553</v>
      </c>
      <c r="E15" s="19">
        <f>Data!E42/Data!E7</f>
        <v>-1.577815993121238</v>
      </c>
      <c r="F15" s="19">
        <f>Data!F42/Data!F7</f>
        <v>0.10530517008473536</v>
      </c>
      <c r="G15" s="19">
        <f>Data!G42/Data!G7</f>
        <v>-0.06413639131317232</v>
      </c>
      <c r="H15" s="8" t="inlineStr">
        <is>
          <t>(Adjusted Operating Income + D&amp;A) / revenue</t>
        </is>
      </c>
    </row>
    <row r="17">
      <c r="A17" s="3" t="inlineStr">
        <is>
          <t>Cash flow</t>
        </is>
      </c>
      <c r="B17" s="4" t="inlineStr">
        <is>
          <t>FY2023</t>
        </is>
      </c>
      <c r="C17" s="4" t="inlineStr">
        <is>
          <t>FY2024</t>
        </is>
      </c>
      <c r="D17" s="4" t="inlineStr">
        <is>
          <t>FY2025</t>
        </is>
      </c>
      <c r="E17" s="4" t="inlineStr">
        <is>
          <t>6M2025</t>
        </is>
      </c>
      <c r="F17" s="4" t="inlineStr">
        <is>
          <t>6M2026</t>
        </is>
      </c>
      <c r="G17" s="4" t="inlineStr">
        <is>
          <t>LTM Jun-26</t>
        </is>
      </c>
      <c r="H17" s="4" t="inlineStr">
        <is>
          <t>Formula</t>
        </is>
      </c>
    </row>
    <row r="18">
      <c r="A18" s="5" t="inlineStr">
        <is>
          <t>Free cash flow (USD m)</t>
        </is>
      </c>
      <c r="B18" s="7">
        <f>Data!B57+Data!B58</f>
        <v>-1629.0</v>
      </c>
      <c r="C18" s="7">
        <f>Data!C57+Data!C58</f>
        <v>-5707.0</v>
      </c>
      <c r="D18" s="7">
        <f>Data!D57+Data!D58</f>
        <v>-2768.0</v>
      </c>
      <c r="E18" s="7">
        <f>Data!E57+Data!E58</f>
        <v>-1531.0</v>
      </c>
      <c r="F18" s="7">
        <f>Data!F57+Data!F58</f>
        <v>3447.0</v>
      </c>
      <c r="G18" s="7">
        <f>Data!G57+Data!G58</f>
        <v>2210.0</v>
      </c>
      <c r="H18" s="8" t="inlineStr">
        <is>
          <t>Operating cash flow - capex</t>
        </is>
      </c>
    </row>
    <row r="19">
      <c r="A19" s="5" t="inlineStr">
        <is>
          <t>FCF margin</t>
        </is>
      </c>
      <c r="B19" s="19">
        <f>B18/Data!B7</f>
        <v>-39.73170731707317</v>
      </c>
      <c r="C19" s="19">
        <f>C18/Data!C7</f>
        <v>-14.784974093264248</v>
      </c>
      <c r="D19" s="19">
        <f>D18/Data!D7</f>
        <v>-0.6037077426390404</v>
      </c>
      <c r="E19" s="19">
        <f>E18/Data!E7</f>
        <v>-1.3164230438521065</v>
      </c>
      <c r="F19" s="19">
        <f>F18/Data!F7</f>
        <v>0.21165418150558762</v>
      </c>
      <c r="G19" s="19">
        <f>G18/Data!G7</f>
        <v>0.11213720316622691</v>
      </c>
      <c r="H19" s="8" t="inlineStr">
        <is>
          <t>FCF / revenue</t>
        </is>
      </c>
    </row>
    <row r="20">
      <c r="A20" s="5" t="inlineStr">
        <is>
          <t>Cash burn (USD m; 0 = cash generative)</t>
        </is>
      </c>
      <c r="B20" s="7">
        <f>MAX(0,-B18)</f>
        <v>1629.0</v>
      </c>
      <c r="C20" s="7">
        <f>MAX(0,-C18)</f>
        <v>5707.0</v>
      </c>
      <c r="D20" s="7">
        <f>MAX(0,-D18)</f>
        <v>2768.0</v>
      </c>
      <c r="E20" s="7">
        <f>MAX(0,-E18)</f>
        <v>1531.0</v>
      </c>
      <c r="F20" s="7">
        <f>MAX(0,-F18)</f>
        <v>0.0</v>
      </c>
      <c r="G20" s="7">
        <f>MAX(0,-G18)</f>
        <v>0.0</v>
      </c>
      <c r="H20" s="8" t="inlineStr">
        <is>
          <t>max(0, -FCF)</t>
        </is>
      </c>
    </row>
    <row r="21">
      <c r="A21" s="5" t="inlineStr">
        <is>
          <t>Cash and short-term investments at period end (USD m)</t>
        </is>
      </c>
      <c r="B21" s="20" t="inlineStr">
        <is>
          <t>N/A</t>
        </is>
      </c>
      <c r="C21" s="21">
        <f>Data!$B$103</f>
        <v>3141.0</v>
      </c>
      <c r="D21" s="21">
        <f>Data!$C$103</f>
        <v>20277.0</v>
      </c>
      <c r="E21" s="20" t="inlineStr">
        <is>
          <t>N/A</t>
        </is>
      </c>
      <c r="F21" s="21">
        <f>Data!$D$103</f>
        <v>131651.0</v>
      </c>
      <c r="G21" s="21">
        <f>Data!$D$103</f>
        <v>131651.0</v>
      </c>
      <c r="H21" s="8" t="inlineStr">
        <is>
          <t>Balance sheet at period end</t>
        </is>
      </c>
    </row>
    <row r="22">
      <c r="A22" s="5" t="inlineStr">
        <is>
          <t>Runway in years (N/A = no burn or no balance sheet)</t>
        </is>
      </c>
      <c r="B22" s="22" t="str">
        <f>IF(OR(ISTEXT(B21),B20=0),"N/A",B21/(B20*1))</f>
        <v>N/A</v>
      </c>
      <c r="C22" s="22">
        <f>IF(OR(ISTEXT(C21),C20=0),"N/A",C21/(C20*1))</f>
        <v>0.5503767303311723</v>
      </c>
      <c r="D22" s="22">
        <f>IF(OR(ISTEXT(D21),D20=0),"N/A",D21/(D20*1))</f>
        <v>7.325505780346821</v>
      </c>
      <c r="E22" s="22" t="str">
        <f>IF(OR(ISTEXT(E21),E20=0),"N/A",E21/(E20*2))</f>
        <v>N/A</v>
      </c>
      <c r="F22" s="22" t="str">
        <f>IF(OR(ISTEXT(F21),F20=0),"N/A",F21/(F20*1))</f>
        <v>N/A</v>
      </c>
      <c r="G22" s="22" t="str">
        <f>IF(OR(ISTEXT(G21),G20=0),"N/A",G21/(G20*1))</f>
        <v>N/A</v>
      </c>
      <c r="H22" s="8" t="inlineStr">
        <is>
          <t>Cash and STI / annualised burn</t>
        </is>
      </c>
    </row>
    <row r="24">
      <c r="A24" s="3" t="inlineStr">
        <is>
          <t>Cost structure (% of revenue)</t>
        </is>
      </c>
      <c r="B24" s="4" t="inlineStr">
        <is>
          <t>FY2023</t>
        </is>
      </c>
      <c r="C24" s="4" t="inlineStr">
        <is>
          <t>FY2024</t>
        </is>
      </c>
      <c r="D24" s="4" t="inlineStr">
        <is>
          <t>FY2025</t>
        </is>
      </c>
      <c r="E24" s="4" t="inlineStr">
        <is>
          <t>6M2025</t>
        </is>
      </c>
      <c r="F24" s="4" t="inlineStr">
        <is>
          <t>6M2026</t>
        </is>
      </c>
      <c r="G24" s="4" t="inlineStr">
        <is>
          <t>LTM Jun-26</t>
        </is>
      </c>
      <c r="H24" s="4" t="inlineStr">
        <is>
          <t>Formula</t>
        </is>
      </c>
    </row>
    <row r="25">
      <c r="A25" s="5" t="inlineStr">
        <is>
          <t>Compute and infrastructure / revenue</t>
        </is>
      </c>
      <c r="B25" s="19">
        <f>Data!B10/Data!B7</f>
        <v>10.560975609756097</v>
      </c>
      <c r="C25" s="19">
        <f>Data!C10/Data!C7</f>
        <v>6.533678756476684</v>
      </c>
      <c r="D25" s="19">
        <f>Data!D10/Data!D7</f>
        <v>1.5978189749182115</v>
      </c>
      <c r="E25" s="19">
        <f>Data!E10/Data!E7</f>
        <v>2.006878761822872</v>
      </c>
      <c r="F25" s="19">
        <f>Data!F10/Data!F7</f>
        <v>0.5492447500921036</v>
      </c>
      <c r="G25" s="19">
        <f>Data!G10/Data!G7</f>
        <v>0.7071747513700021</v>
      </c>
      <c r="H25" s="8" t="inlineStr">
        <is>
          <t>All compute (serving, training, research)</t>
        </is>
      </c>
    </row>
    <row r="26">
      <c r="A26" s="5" t="inlineStr">
        <is>
          <t>R&amp;D / revenue</t>
        </is>
      </c>
      <c r="B26" s="19">
        <f>Data!B28/Data!B7</f>
        <v>10.292682926829269</v>
      </c>
      <c r="C26" s="19">
        <f>Data!C28/Data!C7</f>
        <v>5.893782383419689</v>
      </c>
      <c r="D26" s="19">
        <f>Data!D28/Data!D7</f>
        <v>1.3823336968375137</v>
      </c>
      <c r="E26" s="19">
        <f>Data!E28/Data!E7</f>
        <v>1.590713671539123</v>
      </c>
      <c r="F26" s="19">
        <f>Data!F28/Data!F7</f>
        <v>0.5981210855949896</v>
      </c>
      <c r="G26" s="19">
        <f>Data!G28/Data!G7</f>
        <v>0.7219910696163995</v>
      </c>
      <c r="H26" s="8" t="inlineStr">
        <is>
          <t>R&amp;D (Note 8) / revenue</t>
        </is>
      </c>
    </row>
    <row r="27">
      <c r="A27" s="5" t="inlineStr">
        <is>
          <t>Stock-based compensation / revenue</t>
        </is>
      </c>
      <c r="B27" s="19">
        <f>Data!B36/Data!B7</f>
        <v>0.7073170731707317</v>
      </c>
      <c r="C27" s="19">
        <f>Data!C36/Data!C7</f>
        <v>0.49740932642487046</v>
      </c>
      <c r="D27" s="19">
        <f>Data!D36/Data!D7</f>
        <v>0.25408942202835333</v>
      </c>
      <c r="E27" s="19">
        <f>Data!E36/Data!E7</f>
        <v>0.24591573516766982</v>
      </c>
      <c r="F27" s="19">
        <f>Data!F36/Data!F7</f>
        <v>0.13416431290679112</v>
      </c>
      <c r="G27" s="19">
        <f>Data!G36/Data!G7</f>
        <v>0.1554698599553481</v>
      </c>
      <c r="H27" s="8" t="inlineStr">
        <is>
          <t>SBC / revenue</t>
        </is>
      </c>
    </row>
    <row r="28">
      <c r="A28" s="5" t="inlineStr">
        <is>
          <t>Sales, marketing and partnerships / revenue</t>
        </is>
      </c>
      <c r="B28" s="19">
        <f>Data!B13/Data!B7</f>
        <v>0.04878048780487805</v>
      </c>
      <c r="C28" s="19">
        <f>Data!C13/Data!C7</f>
        <v>0.11139896373056994</v>
      </c>
      <c r="D28" s="19">
        <f>Data!D13/Data!D7</f>
        <v>0.12388222464558342</v>
      </c>
      <c r="E28" s="19">
        <f>Data!E13/Data!E7</f>
        <v>0.10318142734307825</v>
      </c>
      <c r="F28" s="19">
        <f>Data!F13/Data!F7</f>
        <v>0.19452290310696305</v>
      </c>
      <c r="G28" s="19">
        <f>Data!G13/Data!G7</f>
        <v>0.18347879033894865</v>
      </c>
      <c r="H28" s="8" t="inlineStr">
        <is>
          <t>SM&amp;P / revenue</t>
        </is>
      </c>
    </row>
    <row r="30">
      <c r="A30" s="3" t="inlineStr">
        <is>
          <t>Capital</t>
        </is>
      </c>
      <c r="B30" s="4" t="inlineStr">
        <is>
          <t>FY2023</t>
        </is>
      </c>
      <c r="C30" s="4" t="inlineStr">
        <is>
          <t>FY2024</t>
        </is>
      </c>
      <c r="D30" s="4" t="inlineStr">
        <is>
          <t>FY2025</t>
        </is>
      </c>
      <c r="E30" s="4" t="inlineStr">
        <is>
          <t>6M2025</t>
        </is>
      </c>
      <c r="F30" s="4" t="inlineStr">
        <is>
          <t>6M2026</t>
        </is>
      </c>
      <c r="G30" s="4" t="inlineStr">
        <is>
          <t>LTM Jun-26</t>
        </is>
      </c>
      <c r="H30" s="4" t="inlineStr">
        <is>
          <t>Formula</t>
        </is>
      </c>
    </row>
    <row r="31">
      <c r="A31" s="5" t="inlineStr">
        <is>
          <t>Capex / revenue</t>
        </is>
      </c>
      <c r="B31" s="17">
        <f>-Data!B58/Data!B7</f>
        <v>0.04878048780487805</v>
      </c>
      <c r="C31" s="17">
        <f>-Data!C58/Data!C7</f>
        <v>0.038860103626943004</v>
      </c>
      <c r="D31" s="17">
        <f>-Data!D58/Data!D7</f>
        <v>0.02857142857142857</v>
      </c>
      <c r="E31" s="17">
        <f>-Data!E58/Data!E7</f>
        <v>0.015477214101461736</v>
      </c>
      <c r="F31" s="17">
        <f>-Data!F58/Data!F7</f>
        <v>0.02959597200049122</v>
      </c>
      <c r="G31" s="17">
        <f>-Data!G58/Data!G7</f>
        <v>0.030190785467830324</v>
      </c>
      <c r="H31" s="8" t="inlineStr">
        <is>
          <t>Capex / revenue</t>
        </is>
      </c>
    </row>
    <row r="32">
      <c r="A32" s="5" t="inlineStr">
        <is>
          <t>(Capex + finance-lease equipment) / revenue</t>
        </is>
      </c>
      <c r="B32" s="17">
        <f>(-Data!B58+Data!B75)/Data!B7</f>
        <v>0.04878048780487805</v>
      </c>
      <c r="C32" s="17">
        <f>(-Data!C58+Data!C75)/Data!C7</f>
        <v>0.038860103626943004</v>
      </c>
      <c r="D32" s="17">
        <f>(-Data!D58+Data!D75)/Data!D7</f>
        <v>0.02857142857142857</v>
      </c>
      <c r="E32" s="17">
        <f>(-Data!E58+Data!E75)/Data!E7</f>
        <v>0.015477214101461736</v>
      </c>
      <c r="F32" s="17">
        <f>(-Data!F58+Data!F75)/Data!F7</f>
        <v>0.05692005403413975</v>
      </c>
      <c r="G32" s="17">
        <f>(-Data!G58+Data!G75)/Data!G7</f>
        <v>0.052770448548812667</v>
      </c>
      <c r="H32" s="8" t="inlineStr">
        <is>
          <t>(Capex + finance-lease additions) / revenue</t>
        </is>
      </c>
    </row>
    <row r="33">
      <c r="A33" s="5" t="inlineStr">
        <is>
          <t>Purchase commitments / revenue (x)</t>
        </is>
      </c>
      <c r="B33" s="23" t="inlineStr">
        <is>
          <t>N/A</t>
        </is>
      </c>
      <c r="C33" s="23" t="inlineStr">
        <is>
          <t>N/A</t>
        </is>
      </c>
      <c r="D33" s="24">
        <f>Data!$B$142/Data!$D$7</f>
        <v>11.899454743729553</v>
      </c>
      <c r="E33" s="23" t="inlineStr">
        <is>
          <t>N/A</t>
        </is>
      </c>
      <c r="F33" s="23" t="inlineStr">
        <is>
          <t>N/A</t>
        </is>
      </c>
      <c r="G33" s="24">
        <f>Data!$B$143/Data!$G$7</f>
        <v>13.476760706312158</v>
      </c>
      <c r="H33" s="8" t="inlineStr">
        <is>
          <t>Dec-25 commitments / FY2025 revenue; Jun-26 / LTM revenue</t>
        </is>
      </c>
    </row>
    <row r="34">
      <c r="A34" s="5" t="inlineStr">
        <is>
          <t>Signed leases not yet commenced / revenue (x)</t>
        </is>
      </c>
      <c r="B34" s="23" t="inlineStr">
        <is>
          <t>N/A</t>
        </is>
      </c>
      <c r="C34" s="23" t="inlineStr">
        <is>
          <t>N/A</t>
        </is>
      </c>
      <c r="D34" s="24">
        <f>Data!$B$144/Data!$D$7</f>
        <v>10.948745910577971</v>
      </c>
      <c r="E34" s="23" t="inlineStr">
        <is>
          <t>N/A</t>
        </is>
      </c>
      <c r="F34" s="23" t="inlineStr">
        <is>
          <t>N/A</t>
        </is>
      </c>
      <c r="G34" s="24">
        <f>Data!$B$145/Data!$G$7</f>
        <v>16.308098234219607</v>
      </c>
      <c r="H34" s="8" t="inlineStr">
        <is>
          <t>Undiscounted signed leases / revenue</t>
        </is>
      </c>
    </row>
    <row r="36">
      <c r="A36" s="3" t="inlineStr">
        <is>
          <t>Concentration</t>
        </is>
      </c>
      <c r="B36" s="4" t="inlineStr">
        <is>
          <t>FY2023</t>
        </is>
      </c>
      <c r="C36" s="4" t="inlineStr">
        <is>
          <t>FY2024</t>
        </is>
      </c>
      <c r="D36" s="4" t="inlineStr">
        <is>
          <t>FY2025</t>
        </is>
      </c>
      <c r="E36" s="4" t="inlineStr">
        <is>
          <t>6M2025</t>
        </is>
      </c>
      <c r="F36" s="4" t="inlineStr">
        <is>
          <t>6M2026</t>
        </is>
      </c>
      <c r="G36" s="4" t="inlineStr">
        <is>
          <t>Latest</t>
        </is>
      </c>
      <c r="H36" s="4" t="inlineStr">
        <is>
          <t>Formula</t>
        </is>
      </c>
    </row>
    <row r="37">
      <c r="A37" s="5" t="inlineStr">
        <is>
          <t>Largest single customer</t>
        </is>
      </c>
      <c r="B37" s="19">
        <f>IF(MAX(Data!B128,Data!B129,Data!B130,Data!B131)=0,"&lt;10%",MAX(Data!B128,Data!B129,Data!B130,Data!B131))</f>
        <v>0.43</v>
      </c>
      <c r="C37" s="19" t="str">
        <f>IF(MAX(Data!C128,Data!C129,Data!C130,Data!C131)=0,"&lt;10%",MAX(Data!C128,Data!C129,Data!C130,Data!C131))</f>
        <v>&lt;10%</v>
      </c>
      <c r="D37" s="19">
        <f>IF(MAX(Data!D128,Data!D129,Data!D130,Data!D131)=0,"&lt;10%",MAX(Data!D128,Data!D129,Data!D130,Data!D131))</f>
        <v>0.12</v>
      </c>
      <c r="E37" s="19">
        <f>IF(MAX(Data!E128,Data!E129,Data!E130,Data!E131)=0,"&lt;10%",MAX(Data!E128,Data!E129,Data!E130,Data!E131))</f>
        <v>0.18</v>
      </c>
      <c r="F37" s="19">
        <f>IF(MAX(Data!F128,Data!F129,Data!F130,Data!F131)=0,"&lt;10%",MAX(Data!F128,Data!F129,Data!F130,Data!F131))</f>
        <v>0.11</v>
      </c>
      <c r="G37" s="13" t="inlineStr">
        <is>
          <t>N/A</t>
        </is>
      </c>
      <c r="H37" s="8" t="inlineStr">
        <is>
          <t>Largest of Customers A-D; &lt;10% if none reaches 10%</t>
        </is>
      </c>
    </row>
    <row r="38">
      <c r="A38" s="5" t="inlineStr">
        <is>
          <t>Top five customers (Latest = 9M-2026)</t>
        </is>
      </c>
      <c r="G38" s="25">
        <f>Data!$G$133</f>
        <v>0.25</v>
      </c>
      <c r="H38" s="8" t="inlineStr">
        <is>
          <t>S-1 Risk Factors</t>
        </is>
      </c>
    </row>
    <row r="39">
      <c r="A39" s="5" t="inlineStr">
        <is>
          <t>Sold through cloud marketplaces</t>
        </is>
      </c>
      <c r="B39" s="25">
        <f>Data!B132</f>
        <v>0.11</v>
      </c>
      <c r="C39" s="25">
        <f>Data!C132</f>
        <v>0.32</v>
      </c>
      <c r="D39" s="25">
        <f>Data!D132</f>
        <v>0.47</v>
      </c>
      <c r="E39" s="25">
        <f>Data!E132</f>
        <v>0.44</v>
      </c>
      <c r="F39" s="25">
        <f>Data!F132</f>
        <v>0.48</v>
      </c>
      <c r="G39" s="13" t="inlineStr">
        <is>
          <t>N/A</t>
        </is>
      </c>
      <c r="H39" s="8" t="inlineStr">
        <is>
          <t>S-1 Note 1</t>
        </is>
      </c>
    </row>
    <row r="40">
      <c r="A40" s="5" t="inlineStr">
        <is>
          <t>Revenue from customers with &gt;=$100k TTM revenue</t>
        </is>
      </c>
      <c r="B40" s="25">
        <f>Data!B122</f>
        <v>0.9</v>
      </c>
      <c r="C40" s="25">
        <f>Data!C122</f>
        <v>0.57</v>
      </c>
      <c r="D40" s="25">
        <f>Data!D122</f>
        <v>0.76</v>
      </c>
      <c r="E40" s="13" t="inlineStr">
        <is>
          <t>N/A</t>
        </is>
      </c>
      <c r="F40" s="13" t="inlineStr">
        <is>
          <t>N/A</t>
        </is>
      </c>
      <c r="G40" s="13" t="inlineStr">
        <is>
          <t>N/A</t>
        </is>
      </c>
      <c r="H40" s="8" t="inlineStr">
        <is>
          <t>S-1 MD&amp;A</t>
        </is>
      </c>
    </row>
    <row r="41">
      <c r="A41" s="5" t="inlineStr">
        <is>
          <t>United States share of revenue</t>
        </is>
      </c>
      <c r="B41" s="19">
        <f>Data!B8/Data!B7</f>
        <v>0.8292682926829268</v>
      </c>
      <c r="C41" s="19">
        <f>Data!C8/Data!C7</f>
        <v>0.6813471502590673</v>
      </c>
      <c r="D41" s="19">
        <f>Data!D8/Data!D7</f>
        <v>0.7332606324972737</v>
      </c>
      <c r="E41" s="19">
        <f>Data!E8/Data!E7</f>
        <v>0.705073086844368</v>
      </c>
      <c r="F41" s="19">
        <f>Data!F8/Data!F7</f>
        <v>0.7222768021613656</v>
      </c>
      <c r="G41" s="19">
        <f>Data!G8/Data!G7</f>
        <v>0.7258473716257358</v>
      </c>
      <c r="H41" s="8" t="inlineStr">
        <is>
          <t>US revenue / revenue</t>
        </is>
      </c>
    </row>
    <row r="43">
      <c r="A43" s="3" t="inlineStr">
        <is>
          <t>Quarterly</t>
        </is>
      </c>
      <c r="B43" s="4" t="inlineStr">
        <is>
          <t>Q1-2025</t>
        </is>
      </c>
      <c r="C43" s="4" t="inlineStr">
        <is>
          <t>Q2-2025</t>
        </is>
      </c>
      <c r="D43" s="4" t="inlineStr">
        <is>
          <t>Q3-2025</t>
        </is>
      </c>
      <c r="E43" s="4" t="inlineStr">
        <is>
          <t>Q4-2025</t>
        </is>
      </c>
      <c r="F43" s="4" t="inlineStr">
        <is>
          <t>Q1-2026</t>
        </is>
      </c>
      <c r="G43" s="4" t="inlineStr">
        <is>
          <t>Q2-2026</t>
        </is>
      </c>
      <c r="H43" s="4" t="inlineStr">
        <is>
          <t>Formula</t>
        </is>
      </c>
    </row>
    <row r="44">
      <c r="A44" s="5" t="inlineStr">
        <is>
          <t>Revenue growth q/q</t>
        </is>
      </c>
      <c r="B44" s="13" t="inlineStr">
        <is>
          <t>N/A</t>
        </is>
      </c>
      <c r="C44" s="19">
        <f>Data!C107/Data!B107-1</f>
        <v>1.0930851063829787</v>
      </c>
      <c r="D44" s="19">
        <f>Data!D107/Data!C107-1</f>
        <v>0.7560355781448538</v>
      </c>
      <c r="E44" s="19">
        <f>Data!E107/Data!D107-1</f>
        <v>0.47612156295224306</v>
      </c>
      <c r="F44" s="19">
        <f>Data!F107/Data!E107-1</f>
        <v>1.3191176470588237</v>
      </c>
      <c r="G44" s="19">
        <f>Data!G107/Data!F107-1</f>
        <v>1.442401183682097</v>
      </c>
      <c r="H44" s="8" t="inlineStr">
        <is>
          <t>Revenue / prior-quarter revenue - 1</t>
        </is>
      </c>
    </row>
    <row r="45">
      <c r="A45" s="5" t="inlineStr">
        <is>
          <t>Compute and infrastructure / revenue</t>
        </is>
      </c>
      <c r="B45" s="19">
        <f>Data!B108/Data!B107</f>
        <v>2.5106382978723403</v>
      </c>
      <c r="C45" s="19">
        <f>Data!C108/Data!C107</f>
        <v>1.7662007623888183</v>
      </c>
      <c r="D45" s="19">
        <f>Data!D108/Data!D107</f>
        <v>1.4811866859623735</v>
      </c>
      <c r="E45" s="19">
        <f>Data!E108/Data!E107</f>
        <v>1.4436274509803921</v>
      </c>
      <c r="F45" s="19">
        <f>Data!F108/Data!F107</f>
        <v>0.7159162967660114</v>
      </c>
      <c r="G45" s="19">
        <f>Data!G108/Data!G107</f>
        <v>0.48100389441800084</v>
      </c>
      <c r="H45" s="8" t="inlineStr">
        <is>
          <t>Compute and infrastructure / revenue</t>
        </is>
      </c>
    </row>
    <row r="46">
      <c r="A46" s="5" t="inlineStr">
        <is>
          <t>Operating margin (GAAP)</t>
        </is>
      </c>
      <c r="B46" s="19">
        <f>Data!B114/Data!B107</f>
        <v>-2.4867021276595747</v>
      </c>
      <c r="C46" s="19">
        <f>Data!C114/Data!C107</f>
        <v>-1.5247776365946633</v>
      </c>
      <c r="D46" s="19">
        <f>Data!D114/Data!D107</f>
        <v>-2.2351664254703327</v>
      </c>
      <c r="E46" s="19">
        <f>Data!E114/Data!E107</f>
        <v>-1.3901960784313725</v>
      </c>
      <c r="F46" s="19">
        <f>Data!F114/Data!F107</f>
        <v>-0.3523567956034665</v>
      </c>
      <c r="G46" s="19">
        <f>Data!G114/Data!G107</f>
        <v>0.08429251406317612</v>
      </c>
      <c r="H46" s="8" t="inlineStr">
        <is>
          <t>Operating income / revenue</t>
        </is>
      </c>
    </row>
    <row r="47">
      <c r="A47" s="5" t="inlineStr">
        <is>
          <t>Adjusted operating margin (non-GAAP)</t>
        </is>
      </c>
      <c r="B47" s="19">
        <f>Data!B117/Data!B107</f>
        <v>-2.2074468085106385</v>
      </c>
      <c r="C47" s="19">
        <f>Data!C117/Data!C107</f>
        <v>-1.2947903430749683</v>
      </c>
      <c r="D47" s="19">
        <f>Data!D117/Data!D107</f>
        <v>-0.9290882778581766</v>
      </c>
      <c r="E47" s="19">
        <f>Data!E117/Data!E107</f>
        <v>-0.8436274509803922</v>
      </c>
      <c r="F47" s="19">
        <f>Data!F117/Data!F107</f>
        <v>-0.1304164024519129</v>
      </c>
      <c r="G47" s="19">
        <f>Data!G117/Data!G107</f>
        <v>0.1934227607096495</v>
      </c>
      <c r="H47" s="8" t="inlineStr">
        <is>
          <t>Adjusted Operating Income / revenue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48" customWidth="1" min="1" max="1"/>
    <col width="40" customWidth="1" min="2" max="2"/>
    <col width="60" customWidth="1" min="3" max="3"/>
  </cols>
  <sheetData>
    <row r="1">
      <c r="A1" s="1" t="inlineStr">
        <is>
          <t>Sources and gaps</t>
        </is>
      </c>
    </row>
    <row r="2">
      <c r="A2" s="2" t="inlineStr">
        <is>
          <t>S-1 = Anthropic, PBC Form S-1 filed 26 Oct 2026 (Anthropic/Anthropic, PBC - S-1 (Q2).pdf). Page = printed S-1 page; PDF = page of the PDF file. Each number on the Data sheet carries its own citation.</t>
        </is>
      </c>
    </row>
    <row r="4">
      <c r="A4" s="3" t="inlineStr">
        <is>
          <t>Item</t>
        </is>
      </c>
      <c r="B4" s="4" t="inlineStr">
        <is>
          <t>S-1 section</t>
        </is>
      </c>
      <c r="C4" s="4" t="inlineStr">
        <is>
          <t>Pages</t>
        </is>
      </c>
    </row>
    <row r="5">
      <c r="A5" s="5" t="inlineStr">
        <is>
          <t>Income statement</t>
        </is>
      </c>
      <c r="B5" s="18" t="inlineStr">
        <is>
          <t>Consolidated Statements of Operations</t>
        </is>
      </c>
      <c r="C5" s="18" t="inlineStr">
        <is>
          <t>S-1 p.F-7 (PDF 263)</t>
        </is>
      </c>
    </row>
    <row r="6">
      <c r="A6" s="5" t="inlineStr">
        <is>
          <t>Balance sheet</t>
        </is>
      </c>
      <c r="B6" s="18" t="inlineStr">
        <is>
          <t>Consolidated Balance Sheets</t>
        </is>
      </c>
      <c r="C6" s="18" t="inlineStr">
        <is>
          <t>S-1 p.F-5 to F-6 (PDF 261-262)</t>
        </is>
      </c>
    </row>
    <row r="7">
      <c r="A7" s="5" t="inlineStr">
        <is>
          <t>Cash flow statement</t>
        </is>
      </c>
      <c r="B7" s="18" t="inlineStr">
        <is>
          <t>Consolidated Statements of Cash Flows</t>
        </is>
      </c>
      <c r="C7" s="18" t="inlineStr">
        <is>
          <t>S-1 p.F-12 to F-13 (PDF 266-267)</t>
        </is>
      </c>
    </row>
    <row r="8">
      <c r="A8" s="5" t="inlineStr">
        <is>
          <t>Expenses by function</t>
        </is>
      </c>
      <c r="B8" s="18" t="inlineStr">
        <is>
          <t>Note 8 Supplemental Financial Information</t>
        </is>
      </c>
      <c r="C8" s="18" t="inlineStr">
        <is>
          <t>S-1 p.F-39 (PDF 286)</t>
        </is>
      </c>
    </row>
    <row r="9">
      <c r="A9" s="5" t="inlineStr">
        <is>
          <t>Revenue split</t>
        </is>
      </c>
      <c r="B9" s="18" t="inlineStr">
        <is>
          <t>Note 2 Revenue</t>
        </is>
      </c>
      <c r="C9" s="18" t="inlineStr">
        <is>
          <t>S-1 p.F-26 (PDF 276)</t>
        </is>
      </c>
    </row>
    <row r="10">
      <c r="A10" s="5" t="inlineStr">
        <is>
          <t>Customer concentration</t>
        </is>
      </c>
      <c r="B10" s="18" t="inlineStr">
        <is>
          <t>Note 1 Concentrations of Risk</t>
        </is>
      </c>
      <c r="C10" s="18" t="inlineStr">
        <is>
          <t>S-1 p.F-15 to F-16 (PDF 268-269)</t>
        </is>
      </c>
    </row>
    <row r="11">
      <c r="A11" s="5" t="inlineStr">
        <is>
          <t>Quarterly results</t>
        </is>
      </c>
      <c r="B11" s="18" t="inlineStr">
        <is>
          <t>MD&amp;A Quarterly Results of Operations</t>
        </is>
      </c>
      <c r="C11" s="18" t="inlineStr">
        <is>
          <t>S-1 p.157-160 (PDF 125-128)</t>
        </is>
      </c>
    </row>
    <row r="12">
      <c r="A12" s="5" t="inlineStr">
        <is>
          <t>Non-GAAP reconciliation</t>
        </is>
      </c>
      <c r="B12" s="18" t="inlineStr">
        <is>
          <t>MD&amp;A Non-GAAP Financial Measures</t>
        </is>
      </c>
      <c r="C12" s="18" t="inlineStr">
        <is>
          <t>S-1 p.155-156 (PDF 124-125)</t>
        </is>
      </c>
    </row>
    <row r="13">
      <c r="A13" s="5" t="inlineStr">
        <is>
          <t>Operating metrics</t>
        </is>
      </c>
      <c r="B13" s="18" t="inlineStr">
        <is>
          <t>MD&amp;A Our Financial Model / Key Factors</t>
        </is>
      </c>
      <c r="C13" s="18" t="inlineStr">
        <is>
          <t>S-1 p.133-143 (PDF 108-115)</t>
        </is>
      </c>
    </row>
    <row r="14">
      <c r="A14" s="5" t="inlineStr">
        <is>
          <t>Compute agreements</t>
        </is>
      </c>
      <c r="B14" s="18" t="inlineStr">
        <is>
          <t>MD&amp;A Contractual Obligations</t>
        </is>
      </c>
      <c r="C14" s="18" t="inlineStr">
        <is>
          <t>S-1 p.169-171 (PDF 134-136)</t>
        </is>
      </c>
    </row>
    <row r="15">
      <c r="A15" s="5" t="inlineStr">
        <is>
          <t>Purchase commitments</t>
        </is>
      </c>
      <c r="B15" s="18" t="inlineStr">
        <is>
          <t>Note 13 Commitments and Contingencies</t>
        </is>
      </c>
      <c r="C15" s="18" t="inlineStr">
        <is>
          <t>S-1 p.F-58 (PDF 300-301)</t>
        </is>
      </c>
    </row>
    <row r="16">
      <c r="A16" s="5" t="inlineStr">
        <is>
          <t>Signed leases not yet commenced</t>
        </is>
      </c>
      <c r="B16" s="18" t="inlineStr">
        <is>
          <t>Note 7 Leases</t>
        </is>
      </c>
      <c r="C16" s="18" t="inlineStr">
        <is>
          <t>S-1 p.F-35 (PDF 283)</t>
        </is>
      </c>
    </row>
    <row r="17">
      <c r="A17" s="5" t="inlineStr">
        <is>
          <t>Notes, credit facility</t>
        </is>
      </c>
      <c r="B17" s="18" t="inlineStr">
        <is>
          <t>MD&amp;A Liquidity; Note 9</t>
        </is>
      </c>
      <c r="C17" s="18" t="inlineStr">
        <is>
          <t>S-1 p.161-167 (PDF 128-133)</t>
        </is>
      </c>
    </row>
    <row r="18">
      <c r="A18" s="5" t="inlineStr">
        <is>
          <t>Share capital, options, RSUs</t>
        </is>
      </c>
      <c r="B18" s="18" t="inlineStr">
        <is>
          <t>Notes 10 and 12</t>
        </is>
      </c>
      <c r="C18" s="18" t="inlineStr">
        <is>
          <t>S-1 p.F-44 to F-57 (PDF 290-300)</t>
        </is>
      </c>
    </row>
    <row r="19">
      <c r="A19" s="5" t="inlineStr">
        <is>
          <t>Subsequent events</t>
        </is>
      </c>
      <c r="B19" s="18" t="inlineStr">
        <is>
          <t>Notes 16 and 17</t>
        </is>
      </c>
      <c r="C19" s="18" t="inlineStr">
        <is>
          <t>S-1 p.F-62 to F-65 (PDF 303-306)</t>
        </is>
      </c>
    </row>
    <row r="20">
      <c r="A20" s="5" t="inlineStr">
        <is>
          <t>Voting structure</t>
        </is>
      </c>
      <c r="B20" s="18" t="inlineStr">
        <is>
          <t>Principal and Selling Stockholders</t>
        </is>
      </c>
      <c r="C20" s="18" t="inlineStr">
        <is>
          <t>S-1 p.288-289 (PDF 223-224)</t>
        </is>
      </c>
    </row>
    <row r="22">
      <c r="A22" s="3" t="inlineStr">
        <is>
          <t>Not found in the S-1 (N/A)</t>
        </is>
      </c>
      <c r="B22" s="4" t="inlineStr">
        <is>
          <t>Where expected</t>
        </is>
      </c>
      <c r="C22" s="4" t="inlineStr">
        <is>
          <t>Status</t>
        </is>
      </c>
    </row>
    <row r="23">
      <c r="A23" s="5" t="inlineStr">
        <is>
          <t>IPO price range per share</t>
        </is>
      </c>
      <c r="B23" s="18" t="inlineStr">
        <is>
          <t>Cover page (PDF p.2); The Offering (S-1 p.18-21)</t>
        </is>
      </c>
      <c r="C23" s="18" t="inlineStr">
        <is>
          <t>N/A - not found (left blank in this draft)</t>
        </is>
      </c>
    </row>
    <row r="24">
      <c r="A24" s="5" t="inlineStr">
        <is>
          <t>Shares offered and shares outstanding after the offering by class</t>
        </is>
      </c>
      <c r="B24" s="18" t="inlineStr">
        <is>
          <t>The Offering (S-1 p.18-21, PDF p.21-23)</t>
        </is>
      </c>
      <c r="C24" s="18" t="inlineStr">
        <is>
          <t>N/A - not found (left blank)</t>
        </is>
      </c>
    </row>
    <row r="25">
      <c r="A25" s="5" t="inlineStr">
        <is>
          <t>Net proceeds to the company</t>
        </is>
      </c>
      <c r="B25" s="18" t="inlineStr">
        <is>
          <t>Use of Proceeds (S-1 p.124, PDF p.101)</t>
        </is>
      </c>
      <c r="C25" s="18" t="inlineStr">
        <is>
          <t>N/A - not found (left blank)</t>
        </is>
      </c>
    </row>
    <row r="26">
      <c r="A26" s="5" t="inlineStr">
        <is>
          <t>Pro forma and pro forma as adjusted balance sheet and EPS</t>
        </is>
      </c>
      <c r="B26" s="18" t="inlineStr">
        <is>
          <t>Summary (S-1 p.23-24, PDF p.25-26); Capitalization (S-1 p.126-127, PDF p.102-103)</t>
        </is>
      </c>
      <c r="C26" s="18" t="inlineStr">
        <is>
          <t>N/A - not found (left blank)</t>
        </is>
      </c>
    </row>
    <row r="27">
      <c r="A27" s="5" t="inlineStr">
        <is>
          <t>Contractual obligations table (totals and by year)</t>
        </is>
      </c>
      <c r="B27" s="18" t="inlineStr">
        <is>
          <t>MD&amp;A (S-1 p.169, PDF p.135)</t>
        </is>
      </c>
      <c r="C27" s="18" t="inlineStr">
        <is>
          <t>N/A - not found (left blank)</t>
        </is>
      </c>
    </row>
    <row r="28">
      <c r="A28" s="5" t="inlineStr">
        <is>
          <t>Run-Rate Revenue</t>
        </is>
      </c>
      <c r="B28" s="18" t="inlineStr">
        <is>
          <t>Prospectus Summary / Business (PDF p.153), MD&amp;A</t>
        </is>
      </c>
      <c r="C28" s="18" t="inlineStr">
        <is>
          <t>N/A - not found (amount blank; to be stated as of 31 Oct 2026)</t>
        </is>
      </c>
    </row>
    <row r="29">
      <c r="A29" s="5" t="inlineStr">
        <is>
          <t>Revenue for Q3-2026 and nine months to Sep-2026</t>
        </is>
      </c>
      <c r="B29" s="18" t="inlineStr">
        <is>
          <t>MD&amp;A Overview (S-1 p.133, PDF p.108)</t>
        </is>
      </c>
      <c r="C29" s="18" t="inlineStr">
        <is>
          <t>N/A - not found (amount blank; no Q3 financial statements)</t>
        </is>
      </c>
    </row>
    <row r="30">
      <c r="A30" s="5" t="inlineStr">
        <is>
          <t>Liquidity and committed compute spend as of 30 Sep 2026</t>
        </is>
      </c>
      <c r="B30" s="18" t="inlineStr">
        <is>
          <t>MD&amp;A (S-1 p.137, PDF p.111)</t>
        </is>
      </c>
      <c r="C30" s="18" t="inlineStr">
        <is>
          <t>N/A - not found (amounts blank)</t>
        </is>
      </c>
    </row>
    <row r="31">
      <c r="A31" s="5" t="inlineStr">
        <is>
          <t>Share of revenue from customers with &gt;=$100k TTM revenue for TTM Sep-2026</t>
        </is>
      </c>
      <c r="B31" s="18" t="inlineStr">
        <is>
          <t>MD&amp;A (S-1 p.141, PDF p.114)</t>
        </is>
      </c>
      <c r="C31" s="18" t="inlineStr">
        <is>
          <t>N/A - not found (blank)</t>
        </is>
      </c>
    </row>
    <row r="32">
      <c r="A32" s="5" t="inlineStr">
        <is>
          <t>Net Revenue Retention before Sep-2026</t>
        </is>
      </c>
      <c r="B32" s="18" t="inlineStr">
        <is>
          <t>MD&amp;A / Business</t>
        </is>
      </c>
      <c r="C32" s="18" t="inlineStr">
        <is>
          <t>N/A - not found (only ~900% as of 30 Sep 2026 is disclosed)</t>
        </is>
      </c>
    </row>
    <row r="33">
      <c r="A33" s="5" t="inlineStr">
        <is>
          <t>Adjusted EBITDA</t>
        </is>
      </c>
      <c r="B33" s="18" t="inlineStr">
        <is>
          <t>Non-GAAP measures (S-1 p.24 and 155-160)</t>
        </is>
      </c>
      <c r="C33" s="18" t="inlineStr">
        <is>
          <t>Not reported by the company (it reports Adjusted Operating Income and Adjusted Net Income)</t>
        </is>
      </c>
    </row>
    <row r="34">
      <c r="A34" s="5" t="inlineStr">
        <is>
          <t>Gross profit / cost of revenue on the face of the income statement</t>
        </is>
      </c>
      <c r="B34" s="18" t="inlineStr">
        <is>
          <t>Statements of operations (S-1 p.F-7)</t>
        </is>
      </c>
      <c r="C34" s="18" t="inlineStr">
        <is>
          <t>Not presented (expenses shown by nature since FY2025)</t>
        </is>
      </c>
    </row>
    <row r="35">
      <c r="A35" s="5" t="inlineStr">
        <is>
          <t>Revenue by product or channel (API vs Claude Code vs apps)</t>
        </is>
      </c>
      <c r="B35" s="18" t="inlineStr">
        <is>
          <t>Note 2 / MD&amp;A</t>
        </is>
      </c>
      <c r="C35" s="18" t="inlineStr">
        <is>
          <t>N/A - not found (only geography and consumption vs subscription)</t>
        </is>
      </c>
    </row>
    <row r="36">
      <c r="A36" s="5" t="inlineStr">
        <is>
          <t>Identity of Customers A-D</t>
        </is>
      </c>
      <c r="B36" s="18" t="inlineStr">
        <is>
          <t>Note 1 concentration table (S-1 p.F-15)</t>
        </is>
      </c>
      <c r="C36" s="18" t="inlineStr">
        <is>
          <t>Not disclosed</t>
        </is>
      </c>
    </row>
    <row r="37">
      <c r="A37" s="5" t="inlineStr">
        <is>
          <t>Economic ownership of Amazon and Google</t>
        </is>
      </c>
      <c r="B37" s="18" t="inlineStr">
        <is>
          <t>Principal Stockholders (S-1 p.288-289)</t>
        </is>
      </c>
      <c r="C37" s="18" t="inlineStr">
        <is>
          <t>N/A - not found (non-voting holders not tabulated; only conversion caps of 12% and 14.99%)</t>
        </is>
      </c>
    </row>
    <row r="38">
      <c r="A38" s="5" t="inlineStr">
        <is>
          <t>Convertible note principal outstanding at 31 Dec 2024</t>
        </is>
      </c>
      <c r="B38" s="18" t="inlineStr">
        <is>
          <t>Note 9 (S-1 p.F-39 to F-44)</t>
        </is>
      </c>
      <c r="C38" s="18" t="inlineStr">
        <is>
          <t>N/A - not found (fair value 14116 disclosed)</t>
        </is>
      </c>
    </row>
    <row r="39">
      <c r="A39" s="5" t="inlineStr">
        <is>
          <t>Compute spend by provider</t>
        </is>
      </c>
      <c r="B39" s="18" t="inlineStr">
        <is>
          <t>MD&amp;A / Note 13</t>
        </is>
      </c>
      <c r="C39" s="18" t="inlineStr">
        <is>
          <t>N/A - not found</t>
        </is>
      </c>
    </row>
    <row r="40">
      <c r="A40" s="5" t="inlineStr">
        <is>
          <t>Headcount before Sep-2026</t>
        </is>
      </c>
      <c r="B40" s="18" t="inlineStr">
        <is>
          <t>MD&amp;A / Business</t>
        </is>
      </c>
      <c r="C40" s="18" t="inlineStr">
        <is>
          <t>N/A - not found (only ~5300 at Sep-2026 and ~170% growth from Sep-2025)</t>
        </is>
      </c>
    </row>
    <row r="41">
      <c r="A41" s="5" t="inlineStr">
        <is>
          <t>Principal stockholders percentages</t>
        </is>
      </c>
      <c r="B41" s="18" t="inlineStr">
        <is>
          <t>Principal and Selling Stockholders (S-1 p.288-289, PDF p.224)</t>
        </is>
      </c>
      <c r="C41" s="18" t="inlineStr">
        <is>
          <t>N/A - not found (most percentages blank)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72" customWidth="1" min="1" max="1"/>
    <col width="12" customWidth="1" min="2" max="2"/>
    <col width="56" customWidth="1" min="3" max="3"/>
  </cols>
  <sheetData>
    <row r="1">
      <c r="A1" s="1" t="inlineStr">
        <is>
          <t>Checks - every line must return TRUE</t>
        </is>
      </c>
      <c r="B1" s="26" t="n"/>
    </row>
    <row r="2">
      <c r="A2" s="2" t="inlineStr">
        <is>
          <t>Model formulas are compared with totals reported in the S-1.</t>
        </is>
      </c>
      <c r="B2" s="26" t="n"/>
    </row>
    <row r="3">
      <c r="B3" s="26" t="n"/>
    </row>
    <row r="4">
      <c r="A4" s="3" t="inlineStr">
        <is>
          <t>Check</t>
        </is>
      </c>
      <c r="B4" s="27" t="inlineStr">
        <is>
          <t>Result</t>
        </is>
      </c>
      <c r="C4" s="4" t="inlineStr">
        <is>
          <t>Detail</t>
        </is>
      </c>
    </row>
    <row r="5">
      <c r="A5" s="5" t="inlineStr">
        <is>
          <t>rev: formula equals S-1 reported total, all five periods</t>
        </is>
      </c>
      <c r="B5" s="28" t="b">
        <f>AND(ABS(Data!B7-(41))&lt;0.5,ABS(Data!C7-(386))&lt;0.5,ABS(Data!D7-(4585))&lt;0.5,ABS(Data!E7-(1163))&lt;0.5,ABS(Data!F7-(16286))&lt;0.5)</f>
        <v>1</v>
      </c>
      <c r="C5" s="8" t="inlineStr">
        <is>
          <t>S-1: 41, 386, 4585, 1163, 16286</t>
        </is>
      </c>
    </row>
    <row r="6">
      <c r="A6" s="5" t="inlineStr">
        <is>
          <t>opex: formula equals S-1 reported total, all five periods</t>
        </is>
      </c>
      <c r="B6" s="28" t="b">
        <f>AND(ABS(Data!B15-(592))&lt;0.5,ABS(Data!C15-(3366))&lt;0.5,ABS(Data!D15-(12645))&lt;0.5,ABS(Data!E15-(3298))&lt;0.5,ABS(Data!F15-(16979))&lt;0.5)</f>
        <v>1</v>
      </c>
      <c r="C6" s="8" t="inlineStr">
        <is>
          <t>S-1: 592, 3366, 12645, 3298, 16979</t>
        </is>
      </c>
    </row>
    <row r="7">
      <c r="A7" s="5" t="inlineStr">
        <is>
          <t>ebit: formula equals S-1 reported total, all five periods</t>
        </is>
      </c>
      <c r="B7" s="28" t="b">
        <f>AND(ABS(Data!B16-(-551))&lt;0.5,ABS(Data!C16-(-2980))&lt;0.5,ABS(Data!D16-(-8060))&lt;0.5,ABS(Data!E16-(-2135))&lt;0.5,ABS(Data!F16-(-693))&lt;0.5)</f>
        <v>1</v>
      </c>
      <c r="C7" s="8" t="inlineStr">
        <is>
          <t>S-1: -551, -2980, -8060, -2135, -693</t>
        </is>
      </c>
    </row>
    <row r="8">
      <c r="A8" s="5" t="inlineStr">
        <is>
          <t>ni: formula equals S-1 reported total, all five periods</t>
        </is>
      </c>
      <c r="B8" s="28" t="b">
        <f>AND(ABS(Data!B22-(-1531))&lt;0.5,ABS(Data!C22-(-8309))&lt;0.5,ABS(Data!D22-(-41965))&lt;0.5,ABS(Data!E22-(-12969))&lt;0.5,ABS(Data!F22-(-80748))&lt;0.5)</f>
        <v>1</v>
      </c>
      <c r="C8" s="8" t="inlineStr">
        <is>
          <t>S-1: -1531, -8309, -41965, -12969, -80748</t>
        </is>
      </c>
    </row>
    <row r="9">
      <c r="A9" s="5" t="inlineStr">
        <is>
          <t>cfo: formula equals S-1 reported total, all five periods</t>
        </is>
      </c>
      <c r="B9" s="28" t="b">
        <f>AND(ABS(Data!B57-(-1627))&lt;0.5,ABS(Data!C57-(-5692))&lt;0.5,ABS(Data!D57-(-2637))&lt;0.5,ABS(Data!E57-(-1513))&lt;0.5,ABS(Data!F57-(3929))&lt;0.5)</f>
        <v>1</v>
      </c>
      <c r="C9" s="8" t="inlineStr">
        <is>
          <t>S-1: -1627, -5692, -2637, -1513, 3929</t>
        </is>
      </c>
    </row>
    <row r="10">
      <c r="A10" s="5" t="inlineStr">
        <is>
          <t>cfi: formula equals S-1 reported total, all five periods</t>
        </is>
      </c>
      <c r="B10" s="28" t="b">
        <f>AND(ABS(Data!B62-(-2))&lt;0.5,ABS(Data!C62-(-22))&lt;0.5,ABS(Data!D62-(-3077))&lt;0.5,ABS(Data!E62-(-49))&lt;0.5,ABS(Data!F62-(-17181))&lt;0.5)</f>
        <v>1</v>
      </c>
      <c r="C10" s="8" t="inlineStr">
        <is>
          <t>S-1: -2, -22, -3077, -49, -17181</t>
        </is>
      </c>
    </row>
    <row r="11">
      <c r="A11" s="5" t="inlineStr">
        <is>
          <t>cff: formula equals S-1 reported total, all five periods</t>
        </is>
      </c>
      <c r="B11" s="28" t="b">
        <f>AND(ABS(Data!B70-(2320))&lt;0.5,ABS(Data!C70-(7248))&lt;0.5,ABS(Data!D70-(19960))&lt;0.5,ABS(Data!E70-(4749))&lt;0.5,ABS(Data!F70-(110774))&lt;0.5)</f>
        <v>1</v>
      </c>
      <c r="C11" s="8" t="inlineStr">
        <is>
          <t>S-1: 2320, 7248, 19960, 4749, 110774</t>
        </is>
      </c>
    </row>
    <row r="12">
      <c r="A12" s="5" t="inlineStr">
        <is>
          <t>aoi: formula equals S-1 reported total, all five periods</t>
        </is>
      </c>
      <c r="B12" s="28" t="b">
        <f>AND(ABS(Data!B40-(-522))&lt;0.5,ABS(Data!C40-(-2788))&lt;0.5,ABS(Data!D40-(-4854))&lt;0.5,ABS(Data!E40-(-1849))&lt;0.5,ABS(Data!F40-(1618))&lt;0.5)</f>
        <v>1</v>
      </c>
      <c r="C12" s="8" t="inlineStr">
        <is>
          <t>S-1: -522, -2788, -4854, -1849, 1618</t>
        </is>
      </c>
    </row>
    <row r="13">
      <c r="A13" s="5" t="inlineStr">
        <is>
          <t>adj_ni: formula equals S-1 reported total, all five periods</t>
        </is>
      </c>
      <c r="B13" s="28" t="b">
        <f>AND(ABS(Data!B41-(-457))&lt;0.5,ABS(Data!C41-(-2683))&lt;0.5,ABS(Data!D41-(-4448))&lt;0.5,ABS(Data!E41-(-1741))&lt;0.5,ABS(Data!F41-(2671))&lt;0.5)</f>
        <v>1</v>
      </c>
      <c r="C13" s="8" t="inlineStr">
        <is>
          <t>S-1: -457, -2683, -4448, -1741, 2671</t>
        </is>
      </c>
    </row>
    <row r="14">
      <c r="A14" s="5" t="inlineStr">
        <is>
          <t>EPS recomputed = reported EPS</t>
        </is>
      </c>
      <c r="B14" s="28" t="b">
        <f>AND(ABS(Data!B24-(-1.42))&lt;0.01,ABS(Data!C24-(-5.43))&lt;0.01,ABS(Data!D24-(-23.04))&lt;0.01,ABS(Data!E24-(-7.25))&lt;0.01,ABS(Data!F24-(-39.88))&lt;0.01)</f>
        <v>1</v>
      </c>
      <c r="C14" s="8" t="inlineStr"/>
    </row>
    <row r="15">
      <c r="A15" s="5" t="inlineStr">
        <is>
          <t>Expenses by function total = expenses by nature total</t>
        </is>
      </c>
      <c r="B15" s="28" t="b">
        <f>AND(ABS(Data!$B$32-Data!$B$15)&lt;0.5,ABS(Data!$C$32-Data!$C$15)&lt;0.5,ABS(Data!$D$32-Data!$D$15)&lt;0.5,ABS(Data!$E$32-Data!$E$15)&lt;0.5,ABS(Data!$F$32-Data!$F$15)&lt;0.5)</f>
        <v>1</v>
      </c>
      <c r="C15" s="8" t="inlineStr"/>
    </row>
    <row r="16">
      <c r="A16" s="5" t="inlineStr">
        <is>
          <t>US + International revenue = revenue</t>
        </is>
      </c>
      <c r="B16" s="28" t="b">
        <f>AND(ABS(Data!$B$8+Data!$B$9-Data!$B$7)&lt;0.5,ABS(Data!$C$8+Data!$C$9-Data!$C$7)&lt;0.5,ABS(Data!$D$8+Data!$D$9-Data!$D$7)&lt;0.5,ABS(Data!$E$8+Data!$E$9-Data!$E$7)&lt;0.5,ABS(Data!$F$8+Data!$F$9-Data!$F$7)&lt;0.5)</f>
        <v>1</v>
      </c>
      <c r="C16" s="8" t="inlineStr"/>
    </row>
    <row r="17">
      <c r="A17" s="5" t="inlineStr">
        <is>
          <t>Cash flow net loss = income statement net loss</t>
        </is>
      </c>
      <c r="B17" s="28" t="b">
        <f>AND(ABS(Data!$B$45-Data!$B$22)&lt;0.5,ABS(Data!$C$45-Data!$C$22)&lt;0.5,ABS(Data!$D$45-Data!$D$22)&lt;0.5,ABS(Data!$E$45-Data!$E$22)&lt;0.5,ABS(Data!$F$45-Data!$F$22)&lt;0.5)</f>
        <v>1</v>
      </c>
      <c r="C17" s="8" t="inlineStr"/>
    </row>
    <row r="18">
      <c r="A18" s="5" t="inlineStr">
        <is>
          <t>Cash flow ending cash = balance sheet cash + restricted cash</t>
        </is>
      </c>
      <c r="B18" s="28" t="b">
        <f>AND(ABS(Data!$C$74-Data!$B$104)&lt;0.5,ABS(Data!$D$74-Data!$C$104)&lt;0.5,ABS(Data!$F$74-Data!$D$104)&lt;0.5)</f>
        <v>1</v>
      </c>
      <c r="C18" s="8" t="inlineStr"/>
    </row>
    <row r="19">
      <c r="A19" s="5" t="inlineStr">
        <is>
          <t>Balance sheet balances at all three dates</t>
        </is>
      </c>
      <c r="B19" s="28" t="b">
        <f>AND(ABS(Data!$B$88-Data!$B$102)&lt;0.5,ABS(Data!$C$88-Data!$C$102)&lt;0.5,ABS(Data!$D$88-Data!$D$102)&lt;0.5)</f>
        <v>1</v>
      </c>
      <c r="C19" s="8" t="inlineStr"/>
    </row>
    <row r="20">
      <c r="A20" s="5" t="inlineStr">
        <is>
          <t>Total assets equal S-1 (7,752; 24,661; 147,358)</t>
        </is>
      </c>
      <c r="B20" s="28" t="b">
        <f>AND(ABS(Data!$B$88-7752)&lt;0.5,ABS(Data!$C$88-24661)&lt;0.5,ABS(Data!$D$88-147358)&lt;0.5)</f>
        <v>1</v>
      </c>
      <c r="C20" s="8" t="inlineStr"/>
    </row>
    <row r="21">
      <c r="A21" s="5" t="inlineStr">
        <is>
          <t>Quarterly revenue sums to 6M2025, 6M2026 and FY2025</t>
        </is>
      </c>
      <c r="B21" s="28" t="b">
        <f>AND(ABS(Data!$B$107+Data!$C$107-Data!$E$7)&lt;0.5,ABS(Data!$F$107+Data!$G$107-Data!$F$7)&lt;0.5,ABS(SUM(Data!$B$107:$E$107)-Data!$D$7)&lt;0.5)</f>
        <v>1</v>
      </c>
      <c r="C21" s="8" t="inlineStr"/>
    </row>
    <row r="22">
      <c r="A22" s="5" t="inlineStr">
        <is>
          <t>Quarterly Adjusted Operating Income sums to half-years</t>
        </is>
      </c>
      <c r="B22" s="28" t="b">
        <f>AND(ABS(Data!$B$117+Data!$C$117-Data!$E$40)&lt;0.5,ABS(Data!$F$117+Data!$G$117-Data!$F$40)&lt;0.5)</f>
        <v>1</v>
      </c>
      <c r="C22" s="8" t="inlineStr"/>
    </row>
    <row r="23">
      <c r="A23" s="5" t="inlineStr">
        <is>
          <t>No formula errors on Data or Ratios</t>
        </is>
      </c>
      <c r="B23" s="28" t="b">
        <f>(SUMPRODUCT(--ISERROR(Data!B5:G177))+SUMPRODUCT(--ISERROR(Ratios!B5:G48)))=0</f>
        <v>1</v>
      </c>
      <c r="C23" s="8" t="inlineStr"/>
    </row>
    <row r="24">
      <c r="B24" s="26" t="n"/>
    </row>
    <row r="25">
      <c r="A25" s="9" t="inlineStr">
        <is>
          <t>ALL CHECKS PASS</t>
        </is>
      </c>
      <c r="B25" s="29" t="b">
        <f>AND(B5:B23)</f>
        <v>1</v>
      </c>
    </row>
    <row r="26">
      <c r="B26" s="2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2026-10-27T09:19:12Z</dcterms:created>
  <dcterms:modified xmlns:dcterms="http://purl.org/dc/terms/" xmlns:xsi="http://www.w3.org/2001/XMLSchema-instance" xsi:type="dcterms:W3CDTF">2026-10-27T09:19:12Z</dcterms:modified>
</cp:coreProperties>
</file>